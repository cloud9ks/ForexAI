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2\Desktop\"/>
    </mc:Choice>
  </mc:AlternateContent>
  <xr:revisionPtr revIDLastSave="0" documentId="13_ncr:1_{D67B9E07-474B-4262-9C62-DA9030274D9D}" xr6:coauthVersionLast="47" xr6:coauthVersionMax="47" xr10:uidLastSave="{00000000-0000-0000-0000-000000000000}"/>
  <bookViews>
    <workbookView xWindow="-120" yWindow="-120" windowWidth="29040" windowHeight="15840" xr2:uid="{B04957CC-A282-4AB5-958A-D2AF18A71A0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8" i="1" l="1"/>
  <c r="G278" i="1"/>
  <c r="I278" i="1" s="1"/>
  <c r="E278" i="1"/>
  <c r="H277" i="1"/>
  <c r="G277" i="1"/>
  <c r="I277" i="1" s="1"/>
  <c r="E277" i="1"/>
  <c r="H276" i="1"/>
  <c r="G276" i="1"/>
  <c r="I276" i="1" s="1"/>
  <c r="E276" i="1"/>
  <c r="I275" i="1"/>
  <c r="H275" i="1"/>
  <c r="G275" i="1"/>
  <c r="E275" i="1"/>
  <c r="I274" i="1"/>
  <c r="H274" i="1"/>
  <c r="G274" i="1"/>
  <c r="E274" i="1"/>
  <c r="H273" i="1"/>
  <c r="G273" i="1"/>
  <c r="I273" i="1" s="1"/>
  <c r="E273" i="1"/>
  <c r="I272" i="1"/>
  <c r="H272" i="1"/>
  <c r="G272" i="1"/>
  <c r="E272" i="1"/>
  <c r="I271" i="1"/>
  <c r="H271" i="1"/>
  <c r="G271" i="1"/>
  <c r="E271" i="1"/>
  <c r="H270" i="1"/>
  <c r="G270" i="1"/>
  <c r="I270" i="1" s="1"/>
  <c r="E270" i="1"/>
  <c r="I269" i="1"/>
  <c r="H269" i="1"/>
  <c r="G269" i="1"/>
  <c r="E269" i="1"/>
  <c r="I268" i="1"/>
  <c r="H268" i="1"/>
  <c r="G268" i="1"/>
  <c r="E268" i="1"/>
  <c r="H267" i="1"/>
  <c r="G267" i="1"/>
  <c r="I267" i="1" s="1"/>
  <c r="E267" i="1"/>
  <c r="I266" i="1"/>
  <c r="H266" i="1"/>
  <c r="G266" i="1"/>
  <c r="E266" i="1"/>
  <c r="I265" i="1"/>
  <c r="H265" i="1"/>
  <c r="G265" i="1"/>
  <c r="E265" i="1"/>
  <c r="H264" i="1"/>
  <c r="G264" i="1"/>
  <c r="I264" i="1" s="1"/>
  <c r="E264" i="1"/>
  <c r="I263" i="1"/>
  <c r="H263" i="1"/>
  <c r="G263" i="1"/>
  <c r="E263" i="1"/>
  <c r="I262" i="1"/>
  <c r="H262" i="1"/>
  <c r="G262" i="1"/>
  <c r="E262" i="1"/>
  <c r="H261" i="1"/>
  <c r="G261" i="1"/>
  <c r="I261" i="1" s="1"/>
  <c r="E261" i="1"/>
  <c r="I260" i="1"/>
  <c r="H260" i="1"/>
  <c r="G260" i="1"/>
  <c r="E260" i="1"/>
  <c r="I259" i="1"/>
  <c r="H259" i="1"/>
  <c r="G259" i="1"/>
  <c r="E259" i="1"/>
  <c r="H258" i="1"/>
  <c r="G258" i="1"/>
  <c r="I258" i="1" s="1"/>
  <c r="E258" i="1"/>
  <c r="I257" i="1"/>
  <c r="H257" i="1"/>
  <c r="G257" i="1"/>
  <c r="E257" i="1"/>
  <c r="I256" i="1"/>
  <c r="H256" i="1"/>
  <c r="G256" i="1"/>
  <c r="E256" i="1"/>
  <c r="H255" i="1"/>
  <c r="G255" i="1"/>
  <c r="I255" i="1" s="1"/>
  <c r="E255" i="1"/>
  <c r="I254" i="1"/>
  <c r="H254" i="1"/>
  <c r="G254" i="1"/>
  <c r="E254" i="1"/>
  <c r="I253" i="1"/>
  <c r="H253" i="1"/>
  <c r="G253" i="1"/>
  <c r="E253" i="1"/>
  <c r="H252" i="1"/>
  <c r="G252" i="1"/>
  <c r="I252" i="1" s="1"/>
  <c r="E252" i="1"/>
  <c r="I251" i="1"/>
  <c r="H251" i="1"/>
  <c r="G251" i="1"/>
  <c r="E251" i="1"/>
  <c r="I250" i="1"/>
  <c r="H250" i="1"/>
  <c r="G250" i="1"/>
  <c r="E250" i="1"/>
  <c r="H249" i="1"/>
  <c r="G249" i="1"/>
  <c r="I249" i="1" s="1"/>
  <c r="E249" i="1"/>
  <c r="I248" i="1"/>
  <c r="H248" i="1"/>
  <c r="G248" i="1"/>
  <c r="E248" i="1"/>
  <c r="I247" i="1"/>
  <c r="H247" i="1"/>
  <c r="G247" i="1"/>
  <c r="E247" i="1"/>
  <c r="H246" i="1"/>
  <c r="G246" i="1"/>
  <c r="I246" i="1" s="1"/>
  <c r="E246" i="1"/>
  <c r="I245" i="1"/>
  <c r="H245" i="1"/>
  <c r="G245" i="1"/>
  <c r="E245" i="1"/>
  <c r="I244" i="1"/>
  <c r="H244" i="1"/>
  <c r="G244" i="1"/>
  <c r="E244" i="1"/>
  <c r="H243" i="1"/>
  <c r="G243" i="1"/>
  <c r="I243" i="1" s="1"/>
  <c r="E243" i="1"/>
  <c r="I242" i="1"/>
  <c r="H242" i="1"/>
  <c r="G242" i="1"/>
  <c r="E242" i="1"/>
  <c r="I241" i="1"/>
  <c r="H241" i="1"/>
  <c r="G241" i="1"/>
  <c r="E241" i="1"/>
  <c r="H240" i="1"/>
  <c r="G240" i="1"/>
  <c r="I240" i="1" s="1"/>
  <c r="E240" i="1"/>
  <c r="I239" i="1"/>
  <c r="H239" i="1"/>
  <c r="G239" i="1"/>
  <c r="E239" i="1"/>
  <c r="I238" i="1"/>
  <c r="H238" i="1"/>
  <c r="G238" i="1"/>
  <c r="E238" i="1"/>
  <c r="H237" i="1"/>
  <c r="G237" i="1"/>
  <c r="I237" i="1" s="1"/>
  <c r="E237" i="1"/>
  <c r="I236" i="1"/>
  <c r="H236" i="1"/>
  <c r="G236" i="1"/>
  <c r="E236" i="1"/>
  <c r="I235" i="1"/>
  <c r="H235" i="1"/>
  <c r="G235" i="1"/>
  <c r="E235" i="1"/>
  <c r="H234" i="1"/>
  <c r="G234" i="1"/>
  <c r="I234" i="1" s="1"/>
  <c r="E234" i="1"/>
  <c r="I233" i="1"/>
  <c r="H233" i="1"/>
  <c r="G233" i="1"/>
  <c r="E233" i="1"/>
  <c r="I232" i="1"/>
  <c r="H232" i="1"/>
  <c r="G232" i="1"/>
  <c r="E232" i="1"/>
  <c r="H231" i="1"/>
  <c r="G231" i="1"/>
  <c r="I231" i="1" s="1"/>
  <c r="E231" i="1"/>
  <c r="I230" i="1"/>
  <c r="H230" i="1"/>
  <c r="G230" i="1"/>
  <c r="E230" i="1"/>
  <c r="I229" i="1"/>
  <c r="H229" i="1"/>
  <c r="G229" i="1"/>
  <c r="E229" i="1"/>
  <c r="H228" i="1"/>
  <c r="G228" i="1"/>
  <c r="I228" i="1" s="1"/>
  <c r="E228" i="1"/>
  <c r="I227" i="1"/>
  <c r="H227" i="1"/>
  <c r="G227" i="1"/>
  <c r="E227" i="1"/>
  <c r="I226" i="1"/>
  <c r="H226" i="1"/>
  <c r="G226" i="1"/>
  <c r="E226" i="1"/>
  <c r="H225" i="1"/>
  <c r="G225" i="1"/>
  <c r="I225" i="1" s="1"/>
  <c r="E225" i="1"/>
  <c r="I224" i="1"/>
  <c r="H224" i="1"/>
  <c r="G224" i="1"/>
  <c r="E224" i="1"/>
  <c r="I223" i="1"/>
  <c r="H223" i="1"/>
  <c r="G223" i="1"/>
  <c r="E223" i="1"/>
  <c r="H222" i="1"/>
  <c r="G222" i="1"/>
  <c r="I222" i="1" s="1"/>
  <c r="E222" i="1"/>
  <c r="I221" i="1"/>
  <c r="H221" i="1"/>
  <c r="G221" i="1"/>
  <c r="E221" i="1"/>
  <c r="I220" i="1"/>
  <c r="H220" i="1"/>
  <c r="G220" i="1"/>
  <c r="E220" i="1"/>
  <c r="H219" i="1"/>
  <c r="G219" i="1"/>
  <c r="I219" i="1" s="1"/>
  <c r="E219" i="1"/>
  <c r="I218" i="1"/>
  <c r="H218" i="1"/>
  <c r="G218" i="1"/>
  <c r="E218" i="1"/>
  <c r="I217" i="1"/>
  <c r="H217" i="1"/>
  <c r="G217" i="1"/>
  <c r="E217" i="1"/>
  <c r="H216" i="1"/>
  <c r="G216" i="1"/>
  <c r="I216" i="1" s="1"/>
  <c r="E216" i="1"/>
  <c r="I215" i="1"/>
  <c r="H215" i="1"/>
  <c r="G215" i="1"/>
  <c r="E215" i="1"/>
  <c r="I214" i="1"/>
  <c r="H214" i="1"/>
  <c r="G214" i="1"/>
  <c r="E214" i="1"/>
  <c r="H213" i="1"/>
  <c r="G213" i="1"/>
  <c r="I213" i="1" s="1"/>
  <c r="E213" i="1"/>
  <c r="I212" i="1"/>
  <c r="H212" i="1"/>
  <c r="G212" i="1"/>
  <c r="E212" i="1"/>
  <c r="I211" i="1"/>
  <c r="H211" i="1"/>
  <c r="G211" i="1"/>
  <c r="E211" i="1"/>
  <c r="H210" i="1"/>
  <c r="G210" i="1"/>
  <c r="I210" i="1" s="1"/>
  <c r="E210" i="1"/>
  <c r="I209" i="1"/>
  <c r="H209" i="1"/>
  <c r="G209" i="1"/>
  <c r="E209" i="1"/>
  <c r="I208" i="1"/>
  <c r="H208" i="1"/>
  <c r="G208" i="1"/>
  <c r="E208" i="1"/>
  <c r="H207" i="1"/>
  <c r="G207" i="1"/>
  <c r="I207" i="1" s="1"/>
  <c r="E207" i="1"/>
  <c r="I206" i="1"/>
  <c r="H206" i="1"/>
  <c r="G206" i="1"/>
  <c r="E206" i="1"/>
  <c r="I205" i="1"/>
  <c r="H205" i="1"/>
  <c r="G205" i="1"/>
  <c r="E205" i="1"/>
  <c r="H204" i="1"/>
  <c r="G204" i="1"/>
  <c r="I204" i="1" s="1"/>
  <c r="E204" i="1"/>
  <c r="I203" i="1"/>
  <c r="H203" i="1"/>
  <c r="G203" i="1"/>
  <c r="E203" i="1"/>
  <c r="I202" i="1"/>
  <c r="H202" i="1"/>
  <c r="G202" i="1"/>
  <c r="E202" i="1"/>
  <c r="H201" i="1"/>
  <c r="G201" i="1"/>
  <c r="I201" i="1" s="1"/>
  <c r="E201" i="1"/>
  <c r="I200" i="1"/>
  <c r="H200" i="1"/>
  <c r="G200" i="1"/>
  <c r="E200" i="1"/>
  <c r="I199" i="1"/>
  <c r="H199" i="1"/>
  <c r="G199" i="1"/>
  <c r="E199" i="1"/>
  <c r="H198" i="1"/>
  <c r="G198" i="1"/>
  <c r="I198" i="1" s="1"/>
  <c r="E198" i="1"/>
  <c r="I197" i="1"/>
  <c r="H197" i="1"/>
  <c r="G197" i="1"/>
  <c r="E197" i="1"/>
  <c r="I196" i="1"/>
  <c r="H196" i="1"/>
  <c r="G196" i="1"/>
  <c r="E196" i="1"/>
  <c r="H195" i="1"/>
  <c r="G195" i="1"/>
  <c r="I195" i="1" s="1"/>
  <c r="E195" i="1"/>
  <c r="I194" i="1"/>
  <c r="H194" i="1"/>
  <c r="G194" i="1"/>
  <c r="E194" i="1"/>
  <c r="I193" i="1"/>
  <c r="H193" i="1"/>
  <c r="G193" i="1"/>
  <c r="E193" i="1"/>
  <c r="H192" i="1"/>
  <c r="G192" i="1"/>
  <c r="I192" i="1" s="1"/>
  <c r="E192" i="1"/>
  <c r="I191" i="1"/>
  <c r="H191" i="1"/>
  <c r="G191" i="1"/>
  <c r="E191" i="1"/>
  <c r="I190" i="1"/>
  <c r="H190" i="1"/>
  <c r="G190" i="1"/>
  <c r="E190" i="1"/>
  <c r="H189" i="1"/>
  <c r="G189" i="1"/>
  <c r="I189" i="1" s="1"/>
  <c r="E189" i="1"/>
  <c r="I188" i="1"/>
  <c r="H188" i="1"/>
  <c r="G188" i="1"/>
  <c r="E188" i="1"/>
  <c r="I187" i="1"/>
  <c r="H187" i="1"/>
  <c r="G187" i="1"/>
  <c r="E187" i="1"/>
  <c r="H186" i="1"/>
  <c r="G186" i="1"/>
  <c r="I186" i="1" s="1"/>
  <c r="E186" i="1"/>
  <c r="I185" i="1"/>
  <c r="H185" i="1"/>
  <c r="G185" i="1"/>
  <c r="E185" i="1"/>
  <c r="I184" i="1"/>
  <c r="H184" i="1"/>
  <c r="G184" i="1"/>
  <c r="E184" i="1"/>
  <c r="H183" i="1"/>
  <c r="G183" i="1"/>
  <c r="I183" i="1" s="1"/>
  <c r="E183" i="1"/>
  <c r="I182" i="1"/>
  <c r="H182" i="1"/>
  <c r="G182" i="1"/>
  <c r="E182" i="1"/>
  <c r="I181" i="1"/>
  <c r="H181" i="1"/>
  <c r="G181" i="1"/>
  <c r="E181" i="1"/>
  <c r="H180" i="1"/>
  <c r="G180" i="1"/>
  <c r="I180" i="1" s="1"/>
  <c r="E180" i="1"/>
  <c r="I179" i="1"/>
  <c r="H179" i="1"/>
  <c r="G179" i="1"/>
  <c r="E179" i="1"/>
  <c r="I178" i="1"/>
  <c r="H178" i="1"/>
  <c r="G178" i="1"/>
  <c r="E178" i="1"/>
  <c r="H177" i="1"/>
  <c r="G177" i="1"/>
  <c r="I177" i="1" s="1"/>
  <c r="E177" i="1"/>
  <c r="I176" i="1"/>
  <c r="H176" i="1"/>
  <c r="G176" i="1"/>
  <c r="E176" i="1"/>
  <c r="I175" i="1"/>
  <c r="H175" i="1"/>
  <c r="G175" i="1"/>
  <c r="E175" i="1"/>
  <c r="H174" i="1"/>
  <c r="G174" i="1"/>
  <c r="I174" i="1" s="1"/>
  <c r="E174" i="1"/>
  <c r="I173" i="1"/>
  <c r="H173" i="1"/>
  <c r="G173" i="1"/>
  <c r="E173" i="1"/>
  <c r="I172" i="1"/>
  <c r="H172" i="1"/>
  <c r="G172" i="1"/>
  <c r="E172" i="1"/>
  <c r="H171" i="1"/>
  <c r="G171" i="1"/>
  <c r="I171" i="1" s="1"/>
  <c r="E171" i="1"/>
  <c r="I170" i="1"/>
  <c r="H170" i="1"/>
  <c r="G170" i="1"/>
  <c r="E170" i="1"/>
  <c r="I169" i="1"/>
  <c r="H169" i="1"/>
  <c r="G169" i="1"/>
  <c r="E169" i="1"/>
  <c r="H168" i="1"/>
  <c r="G168" i="1"/>
  <c r="I168" i="1" s="1"/>
  <c r="E168" i="1"/>
  <c r="I167" i="1"/>
  <c r="H167" i="1"/>
  <c r="G167" i="1"/>
  <c r="E167" i="1"/>
  <c r="I166" i="1"/>
  <c r="H166" i="1"/>
  <c r="G166" i="1"/>
  <c r="E166" i="1"/>
  <c r="H165" i="1"/>
  <c r="G165" i="1"/>
  <c r="I165" i="1" s="1"/>
  <c r="E165" i="1"/>
  <c r="I164" i="1"/>
  <c r="H164" i="1"/>
  <c r="G164" i="1"/>
  <c r="E164" i="1"/>
  <c r="I163" i="1"/>
  <c r="H163" i="1"/>
  <c r="G163" i="1"/>
  <c r="E163" i="1"/>
  <c r="H162" i="1"/>
  <c r="G162" i="1"/>
  <c r="I162" i="1" s="1"/>
  <c r="E162" i="1"/>
  <c r="I161" i="1"/>
  <c r="H161" i="1"/>
  <c r="G161" i="1"/>
  <c r="E161" i="1"/>
  <c r="I160" i="1"/>
  <c r="H160" i="1"/>
  <c r="G160" i="1"/>
  <c r="E160" i="1"/>
  <c r="H159" i="1"/>
  <c r="G159" i="1"/>
  <c r="I159" i="1" s="1"/>
  <c r="E159" i="1"/>
  <c r="I158" i="1"/>
  <c r="H158" i="1"/>
  <c r="G158" i="1"/>
  <c r="E158" i="1"/>
  <c r="I157" i="1"/>
  <c r="H157" i="1"/>
  <c r="G157" i="1"/>
  <c r="E157" i="1"/>
  <c r="H156" i="1"/>
  <c r="G156" i="1"/>
  <c r="I156" i="1" s="1"/>
  <c r="E156" i="1"/>
  <c r="I155" i="1"/>
  <c r="H155" i="1"/>
  <c r="G155" i="1"/>
  <c r="E155" i="1"/>
  <c r="I154" i="1"/>
  <c r="H154" i="1"/>
  <c r="G154" i="1"/>
  <c r="E154" i="1"/>
  <c r="H153" i="1"/>
  <c r="G153" i="1"/>
  <c r="I153" i="1" s="1"/>
  <c r="E153" i="1"/>
  <c r="I152" i="1"/>
  <c r="H152" i="1"/>
  <c r="G152" i="1"/>
  <c r="E152" i="1"/>
  <c r="I151" i="1"/>
  <c r="H151" i="1"/>
  <c r="G151" i="1"/>
  <c r="E151" i="1"/>
  <c r="H150" i="1"/>
  <c r="G150" i="1"/>
  <c r="I150" i="1" s="1"/>
  <c r="E150" i="1"/>
  <c r="I149" i="1"/>
  <c r="H149" i="1"/>
  <c r="G149" i="1"/>
  <c r="E149" i="1"/>
  <c r="I148" i="1"/>
  <c r="H148" i="1"/>
  <c r="G148" i="1"/>
  <c r="E148" i="1"/>
  <c r="H147" i="1"/>
  <c r="G147" i="1"/>
  <c r="I147" i="1" s="1"/>
  <c r="E147" i="1"/>
  <c r="I146" i="1"/>
  <c r="H146" i="1"/>
  <c r="G146" i="1"/>
  <c r="E146" i="1"/>
  <c r="I145" i="1"/>
  <c r="H145" i="1"/>
  <c r="G145" i="1"/>
  <c r="E145" i="1"/>
  <c r="H144" i="1"/>
  <c r="G144" i="1"/>
  <c r="I144" i="1" s="1"/>
  <c r="E144" i="1"/>
  <c r="I143" i="1"/>
  <c r="H143" i="1"/>
  <c r="G143" i="1"/>
  <c r="E143" i="1"/>
  <c r="I142" i="1"/>
  <c r="H142" i="1"/>
  <c r="G142" i="1"/>
  <c r="E142" i="1"/>
  <c r="H141" i="1"/>
  <c r="G141" i="1"/>
  <c r="I141" i="1" s="1"/>
  <c r="E141" i="1"/>
  <c r="I140" i="1"/>
  <c r="H140" i="1"/>
  <c r="G140" i="1"/>
  <c r="E140" i="1"/>
  <c r="I139" i="1"/>
  <c r="H139" i="1"/>
  <c r="G139" i="1"/>
  <c r="E139" i="1"/>
  <c r="H138" i="1"/>
  <c r="G138" i="1"/>
  <c r="I138" i="1" s="1"/>
  <c r="E138" i="1"/>
  <c r="I137" i="1"/>
  <c r="H137" i="1"/>
  <c r="G137" i="1"/>
  <c r="E137" i="1"/>
  <c r="I136" i="1"/>
  <c r="H136" i="1"/>
  <c r="G136" i="1"/>
  <c r="E136" i="1"/>
  <c r="H135" i="1"/>
  <c r="G135" i="1"/>
  <c r="I135" i="1" s="1"/>
  <c r="E135" i="1"/>
  <c r="I134" i="1"/>
  <c r="H134" i="1"/>
  <c r="G134" i="1"/>
  <c r="E134" i="1"/>
  <c r="I133" i="1"/>
  <c r="H133" i="1"/>
  <c r="G133" i="1"/>
  <c r="E133" i="1"/>
  <c r="H132" i="1"/>
  <c r="G132" i="1"/>
  <c r="I132" i="1" s="1"/>
  <c r="E132" i="1"/>
  <c r="I131" i="1"/>
  <c r="H131" i="1"/>
  <c r="G131" i="1"/>
  <c r="E131" i="1"/>
  <c r="I130" i="1"/>
  <c r="H130" i="1"/>
  <c r="G130" i="1"/>
  <c r="E130" i="1"/>
  <c r="H129" i="1"/>
  <c r="G129" i="1"/>
  <c r="I129" i="1" s="1"/>
  <c r="E129" i="1"/>
  <c r="I128" i="1"/>
  <c r="H128" i="1"/>
  <c r="G128" i="1"/>
  <c r="E128" i="1"/>
  <c r="I127" i="1"/>
  <c r="H127" i="1"/>
  <c r="G127" i="1"/>
  <c r="E127" i="1"/>
  <c r="H126" i="1"/>
  <c r="G126" i="1"/>
  <c r="I126" i="1" s="1"/>
  <c r="E126" i="1"/>
  <c r="I125" i="1"/>
  <c r="H125" i="1"/>
  <c r="G125" i="1"/>
  <c r="E125" i="1"/>
  <c r="I124" i="1"/>
  <c r="H124" i="1"/>
  <c r="G124" i="1"/>
  <c r="E124" i="1"/>
  <c r="H123" i="1"/>
  <c r="G123" i="1"/>
  <c r="I123" i="1" s="1"/>
  <c r="E123" i="1"/>
  <c r="I122" i="1"/>
  <c r="H122" i="1"/>
  <c r="G122" i="1"/>
  <c r="E122" i="1"/>
  <c r="I121" i="1"/>
  <c r="H121" i="1"/>
  <c r="G121" i="1"/>
  <c r="E121" i="1"/>
  <c r="H120" i="1"/>
  <c r="G120" i="1"/>
  <c r="I120" i="1" s="1"/>
  <c r="E120" i="1"/>
  <c r="I119" i="1"/>
  <c r="H119" i="1"/>
  <c r="G119" i="1"/>
  <c r="E119" i="1"/>
  <c r="I118" i="1"/>
  <c r="H118" i="1"/>
  <c r="G118" i="1"/>
  <c r="E118" i="1"/>
  <c r="H117" i="1"/>
  <c r="G117" i="1"/>
  <c r="I117" i="1" s="1"/>
  <c r="E117" i="1"/>
  <c r="I116" i="1"/>
  <c r="H116" i="1"/>
  <c r="G116" i="1"/>
  <c r="E116" i="1"/>
  <c r="I115" i="1"/>
  <c r="H115" i="1"/>
  <c r="G115" i="1"/>
  <c r="E115" i="1"/>
  <c r="H114" i="1"/>
  <c r="G114" i="1"/>
  <c r="I114" i="1" s="1"/>
  <c r="E114" i="1"/>
  <c r="I113" i="1"/>
  <c r="H113" i="1"/>
  <c r="G113" i="1"/>
  <c r="E113" i="1"/>
  <c r="I112" i="1"/>
  <c r="H112" i="1"/>
  <c r="G112" i="1"/>
  <c r="E112" i="1"/>
  <c r="H111" i="1"/>
  <c r="G111" i="1"/>
  <c r="I111" i="1" s="1"/>
  <c r="E111" i="1"/>
  <c r="I110" i="1"/>
  <c r="H110" i="1"/>
  <c r="G110" i="1"/>
  <c r="E110" i="1"/>
  <c r="I109" i="1"/>
  <c r="H109" i="1"/>
  <c r="G109" i="1"/>
  <c r="E109" i="1"/>
  <c r="H108" i="1"/>
  <c r="G108" i="1"/>
  <c r="I108" i="1" s="1"/>
  <c r="E108" i="1"/>
  <c r="I107" i="1"/>
  <c r="H107" i="1"/>
  <c r="G107" i="1"/>
  <c r="E107" i="1"/>
  <c r="I106" i="1"/>
  <c r="H106" i="1"/>
  <c r="G106" i="1"/>
  <c r="E106" i="1"/>
  <c r="H105" i="1"/>
  <c r="G105" i="1"/>
  <c r="I105" i="1" s="1"/>
  <c r="E105" i="1"/>
  <c r="I104" i="1"/>
  <c r="H104" i="1"/>
  <c r="G104" i="1"/>
  <c r="E104" i="1"/>
  <c r="I103" i="1"/>
  <c r="H103" i="1"/>
  <c r="G103" i="1"/>
  <c r="E103" i="1"/>
  <c r="H102" i="1"/>
  <c r="G102" i="1"/>
  <c r="I102" i="1" s="1"/>
  <c r="E102" i="1"/>
  <c r="I101" i="1"/>
  <c r="H101" i="1"/>
  <c r="G101" i="1"/>
  <c r="E101" i="1"/>
  <c r="I100" i="1"/>
  <c r="H100" i="1"/>
  <c r="G100" i="1"/>
  <c r="E100" i="1"/>
  <c r="H99" i="1"/>
  <c r="G99" i="1"/>
  <c r="I99" i="1" s="1"/>
  <c r="E99" i="1"/>
  <c r="I98" i="1"/>
  <c r="H98" i="1"/>
  <c r="G98" i="1"/>
  <c r="E98" i="1"/>
  <c r="I97" i="1"/>
  <c r="H97" i="1"/>
  <c r="G97" i="1"/>
  <c r="E97" i="1"/>
  <c r="H96" i="1"/>
  <c r="G96" i="1"/>
  <c r="I96" i="1" s="1"/>
  <c r="E96" i="1"/>
  <c r="I95" i="1"/>
  <c r="H95" i="1"/>
  <c r="G95" i="1"/>
  <c r="E95" i="1"/>
  <c r="I94" i="1"/>
  <c r="H94" i="1"/>
  <c r="G94" i="1"/>
  <c r="E94" i="1"/>
  <c r="H93" i="1"/>
  <c r="G93" i="1"/>
  <c r="I93" i="1" s="1"/>
  <c r="E93" i="1"/>
  <c r="I92" i="1"/>
  <c r="H92" i="1"/>
  <c r="G92" i="1"/>
  <c r="E92" i="1"/>
  <c r="I91" i="1"/>
  <c r="H91" i="1"/>
  <c r="G91" i="1"/>
  <c r="E91" i="1"/>
  <c r="H90" i="1"/>
  <c r="G90" i="1"/>
  <c r="I90" i="1" s="1"/>
  <c r="E90" i="1"/>
  <c r="I89" i="1"/>
  <c r="H89" i="1"/>
  <c r="G89" i="1"/>
  <c r="F89" i="1"/>
  <c r="E89" i="1"/>
  <c r="H88" i="1"/>
  <c r="G88" i="1"/>
  <c r="I88" i="1" s="1"/>
  <c r="F88" i="1"/>
  <c r="E88" i="1"/>
  <c r="I87" i="1"/>
  <c r="H87" i="1"/>
  <c r="G87" i="1"/>
  <c r="E87" i="1"/>
  <c r="F87" i="1" s="1"/>
  <c r="I86" i="1"/>
  <c r="H86" i="1"/>
  <c r="G86" i="1"/>
  <c r="E86" i="1"/>
  <c r="F86" i="1" s="1"/>
  <c r="H85" i="1"/>
  <c r="G85" i="1"/>
  <c r="I85" i="1" s="1"/>
  <c r="F85" i="1"/>
  <c r="E85" i="1"/>
  <c r="H84" i="1"/>
  <c r="G84" i="1"/>
  <c r="I84" i="1" s="1"/>
  <c r="E84" i="1"/>
  <c r="F84" i="1" s="1"/>
  <c r="H83" i="1"/>
  <c r="I83" i="1" s="1"/>
  <c r="G83" i="1"/>
  <c r="E83" i="1"/>
  <c r="F83" i="1" s="1"/>
  <c r="I82" i="1"/>
  <c r="H82" i="1"/>
  <c r="G82" i="1"/>
  <c r="E82" i="1"/>
  <c r="F82" i="1" s="1"/>
  <c r="H81" i="1"/>
  <c r="I81" i="1" s="1"/>
  <c r="G81" i="1"/>
  <c r="F81" i="1"/>
  <c r="E81" i="1"/>
  <c r="H80" i="1"/>
  <c r="G80" i="1"/>
  <c r="I80" i="1" s="1"/>
  <c r="F80" i="1"/>
  <c r="E80" i="1"/>
  <c r="H79" i="1"/>
  <c r="I79" i="1" s="1"/>
  <c r="G79" i="1"/>
  <c r="F79" i="1"/>
  <c r="E79" i="1"/>
  <c r="I78" i="1"/>
  <c r="H78" i="1"/>
  <c r="G78" i="1"/>
  <c r="F78" i="1"/>
  <c r="E78" i="1"/>
  <c r="I77" i="1"/>
  <c r="H77" i="1"/>
  <c r="G77" i="1"/>
  <c r="F77" i="1"/>
  <c r="E77" i="1"/>
  <c r="H76" i="1"/>
  <c r="G76" i="1"/>
  <c r="I76" i="1" s="1"/>
  <c r="F76" i="1"/>
  <c r="E76" i="1"/>
  <c r="I75" i="1"/>
  <c r="H75" i="1"/>
  <c r="G75" i="1"/>
  <c r="E75" i="1"/>
  <c r="F75" i="1" s="1"/>
  <c r="I74" i="1"/>
  <c r="H74" i="1"/>
  <c r="G74" i="1"/>
  <c r="E74" i="1"/>
  <c r="F74" i="1" s="1"/>
  <c r="H73" i="1"/>
  <c r="G73" i="1"/>
  <c r="I73" i="1" s="1"/>
  <c r="F73" i="1"/>
  <c r="E73" i="1"/>
  <c r="H72" i="1"/>
  <c r="G72" i="1"/>
  <c r="I72" i="1" s="1"/>
  <c r="E72" i="1"/>
  <c r="F72" i="1" s="1"/>
  <c r="H71" i="1"/>
  <c r="I71" i="1" s="1"/>
  <c r="G71" i="1"/>
  <c r="E71" i="1"/>
  <c r="F71" i="1" s="1"/>
  <c r="I70" i="1"/>
  <c r="H70" i="1"/>
  <c r="G70" i="1"/>
  <c r="E70" i="1"/>
  <c r="F70" i="1" s="1"/>
  <c r="H69" i="1"/>
  <c r="I69" i="1" s="1"/>
  <c r="G69" i="1"/>
  <c r="F69" i="1"/>
  <c r="E69" i="1"/>
  <c r="H68" i="1"/>
  <c r="G68" i="1"/>
  <c r="I68" i="1" s="1"/>
  <c r="F68" i="1"/>
  <c r="E68" i="1"/>
  <c r="H67" i="1"/>
  <c r="I67" i="1" s="1"/>
  <c r="G67" i="1"/>
  <c r="F67" i="1"/>
  <c r="E67" i="1"/>
  <c r="I66" i="1"/>
  <c r="H66" i="1"/>
  <c r="G66" i="1"/>
  <c r="H65" i="1"/>
  <c r="I65" i="1" s="1"/>
  <c r="G65" i="1"/>
  <c r="H64" i="1"/>
  <c r="G64" i="1"/>
  <c r="I64" i="1" s="1"/>
  <c r="H63" i="1"/>
  <c r="I63" i="1" s="1"/>
  <c r="G63" i="1"/>
  <c r="I62" i="1"/>
  <c r="H62" i="1"/>
  <c r="G62" i="1"/>
  <c r="H61" i="1"/>
  <c r="I61" i="1" s="1"/>
  <c r="G61" i="1"/>
  <c r="H60" i="1"/>
  <c r="G60" i="1"/>
  <c r="I60" i="1" s="1"/>
  <c r="H59" i="1"/>
  <c r="G59" i="1"/>
  <c r="I59" i="1" s="1"/>
</calcChain>
</file>

<file path=xl/sharedStrings.xml><?xml version="1.0" encoding="utf-8"?>
<sst xmlns="http://schemas.openxmlformats.org/spreadsheetml/2006/main" count="18" uniqueCount="16">
  <si>
    <t>1date</t>
  </si>
  <si>
    <t>WRESBAL</t>
  </si>
  <si>
    <t>ECBASSETSW</t>
  </si>
  <si>
    <t>m, avg</t>
  </si>
  <si>
    <t>lin</t>
  </si>
  <si>
    <t>Millions of U.S. Dollars, Not Seasonally Adjusted</t>
  </si>
  <si>
    <t>Millions of Euros, Not Seasonally Adjusted</t>
  </si>
  <si>
    <t>Liabilities and Capital: Other Factors Draining Reserve Balances: Reserve Balances with Federal Reserve Banks: Week Average</t>
  </si>
  <si>
    <t>Central Bank Assets for Euro Area (11-19 Countries)</t>
  </si>
  <si>
    <t>Board of Governors of the Federal Reserve System (US)</t>
  </si>
  <si>
    <t>European Central Bank</t>
  </si>
  <si>
    <t>date</t>
  </si>
  <si>
    <t>value</t>
  </si>
  <si>
    <t>EU</t>
  </si>
  <si>
    <t>YoY us</t>
  </si>
  <si>
    <t>%ecb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</si>
</sst>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2" borderId="0" xfId="0" applyNumberFormat="1" applyFill="1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0" fillId="3" borderId="0" xfId="0" applyFill="1"/>
    <xf numFmtId="165" fontId="0" fillId="2" borderId="0" xfId="0" applyNumberFormat="1" applyFill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1EA6-7D84-41A8-9211-0BBF0E20335E}">
  <dimension ref="A1:I278"/>
  <sheetViews>
    <sheetView tabSelected="1" topLeftCell="A242" workbookViewId="0">
      <selection activeCell="V271" sqref="V271"/>
    </sheetView>
  </sheetViews>
  <sheetFormatPr defaultRowHeight="15" x14ac:dyDescent="0.25"/>
  <sheetData>
    <row r="1" spans="1:9" ht="31.5" x14ac:dyDescent="0.25">
      <c r="A1" s="1" t="s">
        <v>0</v>
      </c>
      <c r="B1" s="2" t="s">
        <v>1</v>
      </c>
      <c r="C1" s="3" t="s">
        <v>2</v>
      </c>
      <c r="D1" s="3"/>
      <c r="E1" s="3"/>
      <c r="F1" s="3"/>
      <c r="G1" s="4"/>
      <c r="H1" s="2"/>
      <c r="I1" s="2"/>
    </row>
    <row r="2" spans="1:9" x14ac:dyDescent="0.25">
      <c r="A2" s="1" t="s">
        <v>3</v>
      </c>
      <c r="B2" s="2" t="s">
        <v>4</v>
      </c>
      <c r="C2" s="2" t="s">
        <v>4</v>
      </c>
      <c r="D2" s="2"/>
      <c r="E2" s="2"/>
      <c r="F2" s="2"/>
      <c r="G2" s="4"/>
      <c r="H2" s="2"/>
      <c r="I2" s="2"/>
    </row>
    <row r="3" spans="1:9" x14ac:dyDescent="0.25">
      <c r="A3" s="1">
        <v>37653</v>
      </c>
      <c r="B3" s="2" t="s">
        <v>5</v>
      </c>
      <c r="C3" s="2" t="s">
        <v>6</v>
      </c>
      <c r="D3" s="2"/>
      <c r="E3" s="2"/>
      <c r="F3" s="2"/>
      <c r="G3" s="4"/>
      <c r="H3" s="2"/>
      <c r="I3" s="2"/>
    </row>
    <row r="4" spans="1:9" x14ac:dyDescent="0.25">
      <c r="A4" s="1">
        <v>46036</v>
      </c>
      <c r="B4" s="2" t="s">
        <v>7</v>
      </c>
      <c r="C4" s="2" t="s">
        <v>8</v>
      </c>
      <c r="D4" s="2"/>
      <c r="E4" s="2"/>
      <c r="F4" s="2"/>
      <c r="G4" s="4"/>
      <c r="H4" s="2"/>
      <c r="I4" s="2"/>
    </row>
    <row r="5" spans="1:9" x14ac:dyDescent="0.25">
      <c r="A5" s="2"/>
      <c r="B5" s="2" t="s">
        <v>9</v>
      </c>
      <c r="C5" s="2" t="s">
        <v>10</v>
      </c>
      <c r="D5" s="2"/>
      <c r="E5" s="2"/>
      <c r="F5" s="2"/>
      <c r="G5" s="4"/>
      <c r="H5" s="2"/>
      <c r="I5" s="2"/>
    </row>
    <row r="6" spans="1:9" x14ac:dyDescent="0.25">
      <c r="A6" s="2" t="s">
        <v>11</v>
      </c>
      <c r="B6" s="2" t="s">
        <v>12</v>
      </c>
      <c r="C6" s="2" t="s">
        <v>12</v>
      </c>
      <c r="D6" s="2" t="s">
        <v>13</v>
      </c>
      <c r="E6" s="2"/>
      <c r="F6" s="2"/>
      <c r="G6" s="4" t="s">
        <v>14</v>
      </c>
      <c r="H6" s="2" t="s">
        <v>15</v>
      </c>
      <c r="I6" s="2"/>
    </row>
    <row r="7" spans="1:9" x14ac:dyDescent="0.25">
      <c r="A7" s="1">
        <v>37653</v>
      </c>
      <c r="B7" s="2">
        <v>9644</v>
      </c>
      <c r="C7" s="2">
        <v>783218</v>
      </c>
      <c r="D7" s="5">
        <v>1.0798000000000001</v>
      </c>
      <c r="E7" s="5"/>
      <c r="F7" s="5"/>
      <c r="G7" s="4"/>
      <c r="H7" s="2"/>
      <c r="I7" s="2"/>
    </row>
    <row r="8" spans="1:9" x14ac:dyDescent="0.25">
      <c r="A8" s="6">
        <v>37681</v>
      </c>
      <c r="B8" s="2">
        <v>9700</v>
      </c>
      <c r="C8" s="2">
        <v>797457.5</v>
      </c>
      <c r="D8" s="5">
        <v>1.0924</v>
      </c>
      <c r="E8" s="5"/>
      <c r="F8" s="5"/>
      <c r="G8" s="4"/>
      <c r="H8" s="2"/>
      <c r="I8" s="2"/>
    </row>
    <row r="9" spans="1:9" x14ac:dyDescent="0.25">
      <c r="A9" s="6">
        <v>37712</v>
      </c>
      <c r="B9" s="2">
        <v>11183</v>
      </c>
      <c r="C9" s="2">
        <v>780520.75</v>
      </c>
      <c r="D9" s="5">
        <v>1.1183000000000001</v>
      </c>
      <c r="E9" s="5"/>
      <c r="F9" s="5"/>
      <c r="G9" s="4"/>
      <c r="H9" s="2"/>
      <c r="I9" s="2"/>
    </row>
    <row r="10" spans="1:9" x14ac:dyDescent="0.25">
      <c r="A10" s="6">
        <v>37742</v>
      </c>
      <c r="B10" s="2">
        <v>11446</v>
      </c>
      <c r="C10" s="2">
        <v>778536.6</v>
      </c>
      <c r="D10" s="5">
        <v>1.1787000000000001</v>
      </c>
      <c r="E10" s="5"/>
      <c r="F10" s="5"/>
      <c r="G10" s="4"/>
      <c r="H10" s="2"/>
      <c r="I10" s="2"/>
    </row>
    <row r="11" spans="1:9" x14ac:dyDescent="0.25">
      <c r="A11" s="6">
        <v>37773</v>
      </c>
      <c r="B11" s="2">
        <v>11420</v>
      </c>
      <c r="C11" s="2">
        <v>796000.25</v>
      </c>
      <c r="D11" s="5">
        <v>1.1511</v>
      </c>
      <c r="E11" s="5"/>
      <c r="F11" s="5"/>
      <c r="G11" s="4"/>
      <c r="H11" s="2"/>
      <c r="I11" s="2"/>
    </row>
    <row r="12" spans="1:9" x14ac:dyDescent="0.25">
      <c r="A12" s="6">
        <v>37803</v>
      </c>
      <c r="B12" s="2">
        <v>11804</v>
      </c>
      <c r="C12" s="2">
        <v>805963</v>
      </c>
      <c r="D12" s="5">
        <v>1.1231</v>
      </c>
      <c r="E12" s="5"/>
      <c r="F12" s="5"/>
      <c r="G12" s="4"/>
      <c r="H12" s="2"/>
      <c r="I12" s="2"/>
    </row>
    <row r="13" spans="1:9" x14ac:dyDescent="0.25">
      <c r="A13" s="6">
        <v>37834</v>
      </c>
      <c r="B13" s="2">
        <v>13865</v>
      </c>
      <c r="C13" s="2">
        <v>805788.2</v>
      </c>
      <c r="D13" s="5">
        <v>1.0980000000000001</v>
      </c>
      <c r="E13" s="5"/>
      <c r="F13" s="5"/>
      <c r="G13" s="4"/>
      <c r="H13" s="2"/>
      <c r="I13" s="2"/>
    </row>
    <row r="14" spans="1:9" x14ac:dyDescent="0.25">
      <c r="A14" s="6">
        <v>37865</v>
      </c>
      <c r="B14" s="2">
        <v>12128</v>
      </c>
      <c r="C14" s="2">
        <v>814168</v>
      </c>
      <c r="D14" s="5">
        <v>1.1659999999999999</v>
      </c>
      <c r="E14" s="5"/>
      <c r="F14" s="5"/>
      <c r="G14" s="4"/>
      <c r="H14" s="2"/>
      <c r="I14" s="2"/>
    </row>
    <row r="15" spans="1:9" x14ac:dyDescent="0.25">
      <c r="A15" s="6">
        <v>37895</v>
      </c>
      <c r="B15" s="2">
        <v>12704</v>
      </c>
      <c r="C15" s="2">
        <v>812868</v>
      </c>
      <c r="D15" s="5">
        <v>1.1584000000000001</v>
      </c>
      <c r="E15" s="5"/>
      <c r="F15" s="5"/>
      <c r="G15" s="4"/>
      <c r="H15" s="2"/>
      <c r="I15" s="2"/>
    </row>
    <row r="16" spans="1:9" x14ac:dyDescent="0.25">
      <c r="A16" s="6">
        <v>37926</v>
      </c>
      <c r="B16" s="2">
        <v>11484</v>
      </c>
      <c r="C16" s="2">
        <v>821453.5</v>
      </c>
      <c r="D16" s="5">
        <v>1.1994</v>
      </c>
      <c r="E16" s="5"/>
      <c r="F16" s="5"/>
      <c r="G16" s="4"/>
      <c r="H16" s="2"/>
      <c r="I16" s="2"/>
    </row>
    <row r="17" spans="1:9" x14ac:dyDescent="0.25">
      <c r="A17" s="6">
        <v>37956</v>
      </c>
      <c r="B17" s="2">
        <v>11013</v>
      </c>
      <c r="C17" s="2">
        <v>847311.25</v>
      </c>
      <c r="D17" s="5">
        <v>1.2587999999999999</v>
      </c>
      <c r="E17" s="5"/>
      <c r="F17" s="5"/>
      <c r="G17" s="4"/>
      <c r="H17" s="2"/>
      <c r="I17" s="2"/>
    </row>
    <row r="18" spans="1:9" x14ac:dyDescent="0.25">
      <c r="A18" s="6">
        <v>37987</v>
      </c>
      <c r="B18" s="2">
        <v>11036</v>
      </c>
      <c r="C18" s="2">
        <v>822109.6</v>
      </c>
      <c r="D18" s="5">
        <v>1.2468999999999999</v>
      </c>
      <c r="E18" s="5"/>
      <c r="F18" s="5"/>
      <c r="G18" s="4"/>
      <c r="H18" s="2"/>
      <c r="I18" s="2"/>
    </row>
    <row r="19" spans="1:9" x14ac:dyDescent="0.25">
      <c r="A19" s="6">
        <v>38018</v>
      </c>
      <c r="B19" s="2">
        <v>10522</v>
      </c>
      <c r="C19" s="2">
        <v>817782.25</v>
      </c>
      <c r="D19" s="5">
        <v>1.2490000000000001</v>
      </c>
      <c r="E19" s="5"/>
      <c r="F19" s="5"/>
      <c r="G19" s="4"/>
      <c r="H19" s="2"/>
      <c r="I19" s="2"/>
    </row>
    <row r="20" spans="1:9" x14ac:dyDescent="0.25">
      <c r="A20" s="6">
        <v>38047</v>
      </c>
      <c r="B20" s="2">
        <v>12623</v>
      </c>
      <c r="C20" s="2">
        <v>824918.75</v>
      </c>
      <c r="D20" s="5">
        <v>1.2315</v>
      </c>
      <c r="E20" s="5"/>
      <c r="F20" s="5"/>
      <c r="G20" s="4"/>
      <c r="H20" s="2"/>
      <c r="I20" s="2"/>
    </row>
    <row r="21" spans="1:9" x14ac:dyDescent="0.25">
      <c r="A21" s="6">
        <v>38078</v>
      </c>
      <c r="B21" s="2">
        <v>14151</v>
      </c>
      <c r="C21" s="2">
        <v>845341.6</v>
      </c>
      <c r="D21" s="5">
        <v>1.1981999999999999</v>
      </c>
      <c r="E21" s="5"/>
      <c r="F21" s="5"/>
      <c r="G21" s="4"/>
      <c r="H21" s="2"/>
      <c r="I21" s="2"/>
    </row>
    <row r="22" spans="1:9" x14ac:dyDescent="0.25">
      <c r="A22" s="6">
        <v>38108</v>
      </c>
      <c r="B22" s="2">
        <v>14116</v>
      </c>
      <c r="C22" s="2">
        <v>853875.5</v>
      </c>
      <c r="D22" s="5">
        <v>1.2185999999999999</v>
      </c>
      <c r="E22" s="5"/>
      <c r="F22" s="5"/>
      <c r="G22" s="4"/>
      <c r="H22" s="2"/>
      <c r="I22" s="2"/>
    </row>
    <row r="23" spans="1:9" x14ac:dyDescent="0.25">
      <c r="A23" s="6">
        <v>38139</v>
      </c>
      <c r="B23" s="2">
        <v>13654</v>
      </c>
      <c r="C23" s="2">
        <v>875700</v>
      </c>
      <c r="D23" s="5">
        <v>1.2186999999999999</v>
      </c>
      <c r="E23" s="5"/>
      <c r="F23" s="5"/>
      <c r="G23" s="4"/>
      <c r="H23" s="2"/>
      <c r="I23" s="2"/>
    </row>
    <row r="24" spans="1:9" x14ac:dyDescent="0.25">
      <c r="A24" s="6">
        <v>38169</v>
      </c>
      <c r="B24" s="2">
        <v>12187</v>
      </c>
      <c r="C24" s="2">
        <v>880721</v>
      </c>
      <c r="D24" s="5">
        <v>1.202</v>
      </c>
      <c r="E24" s="5"/>
      <c r="F24" s="5"/>
      <c r="G24" s="4"/>
      <c r="H24" s="2"/>
      <c r="I24" s="2"/>
    </row>
    <row r="25" spans="1:9" x14ac:dyDescent="0.25">
      <c r="A25" s="6">
        <v>38200</v>
      </c>
      <c r="B25" s="2">
        <v>12015</v>
      </c>
      <c r="C25" s="2">
        <v>876416.25</v>
      </c>
      <c r="D25" s="5">
        <v>1.2188000000000001</v>
      </c>
      <c r="E25" s="5"/>
      <c r="F25" s="5"/>
      <c r="G25" s="4"/>
      <c r="H25" s="2"/>
      <c r="I25" s="2"/>
    </row>
    <row r="26" spans="1:9" x14ac:dyDescent="0.25">
      <c r="A26" s="6">
        <v>38231</v>
      </c>
      <c r="B26" s="2">
        <v>13839</v>
      </c>
      <c r="C26" s="2">
        <v>878068</v>
      </c>
      <c r="D26" s="5">
        <v>1.2432000000000001</v>
      </c>
      <c r="E26" s="5"/>
      <c r="F26" s="5"/>
      <c r="G26" s="4"/>
      <c r="H26" s="2"/>
      <c r="I26" s="2"/>
    </row>
    <row r="27" spans="1:9" x14ac:dyDescent="0.25">
      <c r="A27" s="6">
        <v>38261</v>
      </c>
      <c r="B27" s="2">
        <v>11851</v>
      </c>
      <c r="C27" s="2">
        <v>880094</v>
      </c>
      <c r="D27" s="5">
        <v>1.2785</v>
      </c>
      <c r="E27" s="5"/>
      <c r="F27" s="5"/>
      <c r="G27" s="4"/>
      <c r="H27" s="2"/>
      <c r="I27" s="2"/>
    </row>
    <row r="28" spans="1:9" x14ac:dyDescent="0.25">
      <c r="A28" s="6">
        <v>38292</v>
      </c>
      <c r="B28" s="2">
        <v>12084</v>
      </c>
      <c r="C28" s="2">
        <v>893306.75</v>
      </c>
      <c r="D28" s="5">
        <v>1.3292999999999999</v>
      </c>
      <c r="E28" s="5"/>
      <c r="F28" s="5"/>
      <c r="G28" s="4"/>
      <c r="H28" s="2"/>
      <c r="I28" s="2"/>
    </row>
    <row r="29" spans="1:9" x14ac:dyDescent="0.25">
      <c r="A29" s="6">
        <v>38322</v>
      </c>
      <c r="B29" s="2">
        <v>11429</v>
      </c>
      <c r="C29" s="2">
        <v>905768.4</v>
      </c>
      <c r="D29" s="5">
        <v>1.3557999999999999</v>
      </c>
      <c r="E29" s="5"/>
      <c r="F29" s="5"/>
      <c r="G29" s="4"/>
      <c r="H29" s="2"/>
      <c r="I29" s="2"/>
    </row>
    <row r="30" spans="1:9" x14ac:dyDescent="0.25">
      <c r="A30" s="6">
        <v>38353</v>
      </c>
      <c r="B30" s="2">
        <v>13198</v>
      </c>
      <c r="C30" s="2">
        <v>886408.25</v>
      </c>
      <c r="D30" s="5">
        <v>1.3033999999999999</v>
      </c>
      <c r="E30" s="5"/>
      <c r="F30" s="5"/>
      <c r="G30" s="4"/>
      <c r="H30" s="2"/>
      <c r="I30" s="2"/>
    </row>
    <row r="31" spans="1:9" x14ac:dyDescent="0.25">
      <c r="A31" s="6">
        <v>38384</v>
      </c>
      <c r="B31" s="2">
        <v>13196</v>
      </c>
      <c r="C31" s="2">
        <v>902691</v>
      </c>
      <c r="D31" s="5">
        <v>1.3237000000000001</v>
      </c>
      <c r="E31" s="5"/>
      <c r="F31" s="5"/>
      <c r="G31" s="4"/>
      <c r="H31" s="2"/>
      <c r="I31" s="2"/>
    </row>
    <row r="32" spans="1:9" x14ac:dyDescent="0.25">
      <c r="A32" s="6">
        <v>38412</v>
      </c>
      <c r="B32" s="2">
        <v>12796</v>
      </c>
      <c r="C32" s="2">
        <v>912849.25</v>
      </c>
      <c r="D32" s="5">
        <v>1.2963</v>
      </c>
      <c r="E32" s="5"/>
      <c r="F32" s="5"/>
      <c r="G32" s="4"/>
      <c r="H32" s="2"/>
      <c r="I32" s="2"/>
    </row>
    <row r="33" spans="1:9" x14ac:dyDescent="0.25">
      <c r="A33" s="6">
        <v>38443</v>
      </c>
      <c r="B33" s="2">
        <v>13020</v>
      </c>
      <c r="C33" s="2">
        <v>929123.4</v>
      </c>
      <c r="D33" s="5">
        <v>1.2873000000000001</v>
      </c>
      <c r="E33" s="5"/>
      <c r="F33" s="5"/>
      <c r="G33" s="4"/>
      <c r="H33" s="2"/>
      <c r="I33" s="2"/>
    </row>
    <row r="34" spans="1:9" x14ac:dyDescent="0.25">
      <c r="A34" s="6">
        <v>38473</v>
      </c>
      <c r="B34" s="2">
        <v>11892</v>
      </c>
      <c r="C34" s="2">
        <v>926910</v>
      </c>
      <c r="D34" s="5">
        <v>1.2310000000000001</v>
      </c>
      <c r="E34" s="5"/>
      <c r="F34" s="5"/>
      <c r="G34" s="4"/>
      <c r="H34" s="2"/>
      <c r="I34" s="2"/>
    </row>
    <row r="35" spans="1:9" x14ac:dyDescent="0.25">
      <c r="A35" s="6">
        <v>38504</v>
      </c>
      <c r="B35" s="2">
        <v>11190</v>
      </c>
      <c r="C35" s="2">
        <v>946705.5</v>
      </c>
      <c r="D35" s="5">
        <v>1.2101999999999999</v>
      </c>
      <c r="E35" s="5"/>
      <c r="F35" s="5"/>
      <c r="G35" s="4"/>
      <c r="H35" s="2"/>
      <c r="I35" s="2"/>
    </row>
    <row r="36" spans="1:9" x14ac:dyDescent="0.25">
      <c r="A36" s="6">
        <v>38534</v>
      </c>
      <c r="B36" s="2">
        <v>10595</v>
      </c>
      <c r="C36" s="2">
        <v>988616.4</v>
      </c>
      <c r="D36" s="5">
        <v>1.2130000000000001</v>
      </c>
      <c r="E36" s="5"/>
      <c r="F36" s="5"/>
      <c r="G36" s="4"/>
      <c r="H36" s="2"/>
      <c r="I36" s="2"/>
    </row>
    <row r="37" spans="1:9" x14ac:dyDescent="0.25">
      <c r="A37" s="6">
        <v>38565</v>
      </c>
      <c r="B37" s="2">
        <v>11859</v>
      </c>
      <c r="C37" s="2">
        <v>989749.5</v>
      </c>
      <c r="D37" s="5">
        <v>1.2343999999999999</v>
      </c>
      <c r="E37" s="5"/>
      <c r="F37" s="5"/>
      <c r="G37" s="4"/>
      <c r="H37" s="2"/>
      <c r="I37" s="2"/>
    </row>
    <row r="38" spans="1:9" x14ac:dyDescent="0.25">
      <c r="A38" s="6">
        <v>38596</v>
      </c>
      <c r="B38" s="2">
        <v>11834</v>
      </c>
      <c r="C38" s="2">
        <v>978091</v>
      </c>
      <c r="D38" s="5">
        <v>1.2030000000000001</v>
      </c>
      <c r="E38" s="5"/>
      <c r="F38" s="5"/>
      <c r="G38" s="4"/>
      <c r="H38" s="2"/>
      <c r="I38" s="2"/>
    </row>
    <row r="39" spans="1:9" x14ac:dyDescent="0.25">
      <c r="A39" s="6">
        <v>38626</v>
      </c>
      <c r="B39" s="2">
        <v>10267</v>
      </c>
      <c r="C39" s="2">
        <v>994100.75</v>
      </c>
      <c r="D39" s="5">
        <v>1.1988000000000001</v>
      </c>
      <c r="E39" s="5"/>
      <c r="F39" s="5"/>
      <c r="G39" s="4"/>
      <c r="H39" s="2"/>
      <c r="I39" s="2"/>
    </row>
    <row r="40" spans="1:9" x14ac:dyDescent="0.25">
      <c r="A40" s="6">
        <v>38657</v>
      </c>
      <c r="B40" s="2">
        <v>10062</v>
      </c>
      <c r="C40" s="2">
        <v>1003326</v>
      </c>
      <c r="D40" s="5">
        <v>1.1789000000000001</v>
      </c>
      <c r="E40" s="5"/>
      <c r="F40" s="5"/>
      <c r="G40" s="4"/>
      <c r="H40" s="2"/>
      <c r="I40" s="2"/>
    </row>
    <row r="41" spans="1:9" x14ac:dyDescent="0.25">
      <c r="A41" s="6">
        <v>38687</v>
      </c>
      <c r="B41" s="2">
        <v>9605</v>
      </c>
      <c r="C41" s="2">
        <v>1026034.8</v>
      </c>
      <c r="D41" s="5">
        <v>1.1842999999999999</v>
      </c>
      <c r="E41" s="5"/>
      <c r="F41" s="5"/>
      <c r="G41" s="4"/>
      <c r="H41" s="2"/>
      <c r="I41" s="2"/>
    </row>
    <row r="42" spans="1:9" x14ac:dyDescent="0.25">
      <c r="A42" s="6">
        <v>38718</v>
      </c>
      <c r="B42" s="2">
        <v>10085</v>
      </c>
      <c r="C42" s="2">
        <v>1044559.5</v>
      </c>
      <c r="D42" s="5">
        <v>1.2155</v>
      </c>
      <c r="E42" s="5"/>
      <c r="F42" s="5"/>
      <c r="G42" s="4"/>
      <c r="H42" s="2"/>
      <c r="I42" s="2"/>
    </row>
    <row r="43" spans="1:9" x14ac:dyDescent="0.25">
      <c r="A43" s="6">
        <v>38749</v>
      </c>
      <c r="B43" s="2">
        <v>9466</v>
      </c>
      <c r="C43" s="2">
        <v>1041953.5</v>
      </c>
      <c r="D43" s="5">
        <v>1.1920999999999999</v>
      </c>
      <c r="E43" s="5"/>
      <c r="F43" s="5"/>
      <c r="G43" s="4"/>
      <c r="H43" s="2"/>
      <c r="I43" s="2"/>
    </row>
    <row r="44" spans="1:9" x14ac:dyDescent="0.25">
      <c r="A44" s="6">
        <v>38777</v>
      </c>
      <c r="B44" s="2">
        <v>9830</v>
      </c>
      <c r="C44" s="2">
        <v>1055124.6000000001</v>
      </c>
      <c r="D44" s="5">
        <v>1.2119</v>
      </c>
      <c r="E44" s="5"/>
      <c r="F44" s="5"/>
      <c r="G44" s="4"/>
      <c r="H44" s="2"/>
      <c r="I44" s="2"/>
    </row>
    <row r="45" spans="1:9" x14ac:dyDescent="0.25">
      <c r="A45" s="6">
        <v>38808</v>
      </c>
      <c r="B45" s="2">
        <v>10137</v>
      </c>
      <c r="C45" s="2">
        <v>1076841.5</v>
      </c>
      <c r="D45" s="5">
        <v>1.2637</v>
      </c>
      <c r="E45" s="5"/>
      <c r="F45" s="5"/>
      <c r="G45" s="4"/>
      <c r="H45" s="2"/>
      <c r="I45" s="2"/>
    </row>
    <row r="46" spans="1:9" x14ac:dyDescent="0.25">
      <c r="A46" s="6">
        <v>38838</v>
      </c>
      <c r="B46" s="2">
        <v>10572</v>
      </c>
      <c r="C46" s="2">
        <v>1078865.25</v>
      </c>
      <c r="D46" s="5">
        <v>1.2811999999999999</v>
      </c>
      <c r="E46" s="5"/>
      <c r="F46" s="5"/>
      <c r="G46" s="4"/>
      <c r="H46" s="2"/>
      <c r="I46" s="2"/>
    </row>
    <row r="47" spans="1:9" x14ac:dyDescent="0.25">
      <c r="A47" s="6">
        <v>38869</v>
      </c>
      <c r="B47" s="2">
        <v>9850</v>
      </c>
      <c r="C47" s="2">
        <v>1095512.3999999999</v>
      </c>
      <c r="D47" s="5">
        <v>1.2788999999999999</v>
      </c>
      <c r="E47" s="5"/>
      <c r="F47" s="5"/>
      <c r="G47" s="4"/>
      <c r="H47" s="2"/>
      <c r="I47" s="2"/>
    </row>
    <row r="48" spans="1:9" x14ac:dyDescent="0.25">
      <c r="A48" s="6">
        <v>38899</v>
      </c>
      <c r="B48" s="2">
        <v>9116</v>
      </c>
      <c r="C48" s="2">
        <v>1118168.5</v>
      </c>
      <c r="D48" s="5">
        <v>1.2763</v>
      </c>
      <c r="E48" s="5"/>
      <c r="F48" s="5"/>
      <c r="G48" s="4"/>
      <c r="H48" s="2"/>
      <c r="I48" s="2"/>
    </row>
    <row r="49" spans="1:9" x14ac:dyDescent="0.25">
      <c r="A49" s="6">
        <v>38930</v>
      </c>
      <c r="B49" s="2">
        <v>9741</v>
      </c>
      <c r="C49" s="2">
        <v>1111066.5</v>
      </c>
      <c r="D49" s="5">
        <v>1.2806999999999999</v>
      </c>
      <c r="E49" s="5"/>
      <c r="F49" s="5"/>
      <c r="G49" s="4"/>
      <c r="H49" s="2"/>
      <c r="I49" s="2"/>
    </row>
    <row r="50" spans="1:9" x14ac:dyDescent="0.25">
      <c r="A50" s="6">
        <v>38961</v>
      </c>
      <c r="B50" s="2">
        <v>9212</v>
      </c>
      <c r="C50" s="2">
        <v>1109129.6000000001</v>
      </c>
      <c r="D50" s="5">
        <v>1.2672000000000001</v>
      </c>
      <c r="E50" s="5"/>
      <c r="F50" s="5"/>
      <c r="G50" s="4"/>
      <c r="H50" s="2"/>
      <c r="I50" s="2"/>
    </row>
    <row r="51" spans="1:9" x14ac:dyDescent="0.25">
      <c r="A51" s="6">
        <v>38991</v>
      </c>
      <c r="B51" s="2">
        <v>8207</v>
      </c>
      <c r="C51" s="2">
        <v>1116196.5</v>
      </c>
      <c r="D51" s="5">
        <v>1.2763</v>
      </c>
      <c r="E51" s="5"/>
      <c r="F51" s="5"/>
      <c r="G51" s="4"/>
      <c r="H51" s="2"/>
      <c r="I51" s="2"/>
    </row>
    <row r="52" spans="1:9" x14ac:dyDescent="0.25">
      <c r="A52" s="6">
        <v>39022</v>
      </c>
      <c r="B52" s="2">
        <v>8224</v>
      </c>
      <c r="C52" s="2">
        <v>1118138</v>
      </c>
      <c r="D52" s="5">
        <v>1.3241000000000001</v>
      </c>
      <c r="E52" s="5"/>
      <c r="F52" s="5"/>
      <c r="G52" s="4"/>
      <c r="H52" s="2"/>
      <c r="I52" s="2"/>
    </row>
    <row r="53" spans="1:9" x14ac:dyDescent="0.25">
      <c r="A53" s="6">
        <v>39052</v>
      </c>
      <c r="B53" s="2">
        <v>7846</v>
      </c>
      <c r="C53" s="2">
        <v>1140790.2</v>
      </c>
      <c r="D53" s="5">
        <v>1.3199000000000001</v>
      </c>
      <c r="E53" s="5"/>
      <c r="F53" s="5"/>
      <c r="G53" s="4"/>
      <c r="H53" s="2"/>
      <c r="I53" s="2"/>
    </row>
    <row r="54" spans="1:9" x14ac:dyDescent="0.25">
      <c r="A54" s="6">
        <v>39083</v>
      </c>
      <c r="B54" s="2">
        <v>9374</v>
      </c>
      <c r="C54" s="2">
        <v>1145522.5</v>
      </c>
      <c r="D54" s="5">
        <v>1.3033999999999999</v>
      </c>
      <c r="E54" s="5"/>
      <c r="F54" s="5"/>
      <c r="G54" s="4"/>
      <c r="H54" s="2"/>
      <c r="I54" s="2"/>
    </row>
    <row r="55" spans="1:9" x14ac:dyDescent="0.25">
      <c r="A55" s="6">
        <v>39114</v>
      </c>
      <c r="B55" s="2">
        <v>7616</v>
      </c>
      <c r="C55" s="2">
        <v>1137338.25</v>
      </c>
      <c r="D55" s="5">
        <v>1.3234999999999999</v>
      </c>
      <c r="E55" s="5"/>
      <c r="F55" s="5"/>
      <c r="G55" s="4"/>
      <c r="H55" s="2"/>
      <c r="I55" s="2"/>
    </row>
    <row r="56" spans="1:9" x14ac:dyDescent="0.25">
      <c r="A56" s="6">
        <v>39142</v>
      </c>
      <c r="B56" s="2">
        <v>7396</v>
      </c>
      <c r="C56" s="2">
        <v>1144662.3999999999</v>
      </c>
      <c r="D56" s="5">
        <v>1.3358000000000001</v>
      </c>
      <c r="E56" s="5"/>
      <c r="F56" s="5"/>
      <c r="G56" s="4"/>
      <c r="H56" s="2"/>
      <c r="I56" s="2"/>
    </row>
    <row r="57" spans="1:9" x14ac:dyDescent="0.25">
      <c r="A57" s="6">
        <v>39173</v>
      </c>
      <c r="B57" s="2">
        <v>8185</v>
      </c>
      <c r="C57" s="2">
        <v>1168385.75</v>
      </c>
      <c r="D57" s="5">
        <v>1.3647</v>
      </c>
      <c r="E57" s="5"/>
      <c r="F57" s="5"/>
      <c r="G57" s="4"/>
      <c r="H57" s="2"/>
      <c r="I57" s="2"/>
    </row>
    <row r="58" spans="1:9" x14ac:dyDescent="0.25">
      <c r="A58" s="6">
        <v>39203</v>
      </c>
      <c r="B58" s="2">
        <v>8818</v>
      </c>
      <c r="C58" s="2">
        <v>1171411.25</v>
      </c>
      <c r="D58" s="5">
        <v>1.3452999999999999</v>
      </c>
      <c r="E58" s="5"/>
      <c r="F58" s="5"/>
      <c r="G58" s="4"/>
      <c r="H58" s="2"/>
      <c r="I58" s="2"/>
    </row>
    <row r="59" spans="1:9" x14ac:dyDescent="0.25">
      <c r="A59" s="6">
        <v>39234</v>
      </c>
      <c r="B59" s="2">
        <v>8750</v>
      </c>
      <c r="C59" s="2">
        <v>1186034</v>
      </c>
      <c r="D59" s="5">
        <v>1.3542000000000001</v>
      </c>
      <c r="E59" s="5"/>
      <c r="F59" s="5"/>
      <c r="G59" s="4">
        <f t="shared" ref="G59:H122" si="0">(B59-B53)/B53</f>
        <v>0.11521794544991078</v>
      </c>
      <c r="H59" s="2">
        <f t="shared" si="0"/>
        <v>3.966005318068129E-2</v>
      </c>
      <c r="I59" s="2">
        <f t="shared" ref="I59:I122" si="1">G59-H59</f>
        <v>7.5557892269229487E-2</v>
      </c>
    </row>
    <row r="60" spans="1:9" x14ac:dyDescent="0.25">
      <c r="A60" s="6">
        <v>39264</v>
      </c>
      <c r="B60" s="2">
        <v>7913</v>
      </c>
      <c r="C60" s="2">
        <v>1196531</v>
      </c>
      <c r="D60" s="5">
        <v>1.3673</v>
      </c>
      <c r="E60" s="5"/>
      <c r="F60" s="5"/>
      <c r="G60" s="4">
        <f t="shared" si="0"/>
        <v>-0.15585662470663539</v>
      </c>
      <c r="H60" s="2">
        <f t="shared" si="0"/>
        <v>4.4528588482548356E-2</v>
      </c>
      <c r="I60" s="2">
        <f t="shared" si="1"/>
        <v>-0.20038521318918373</v>
      </c>
    </row>
    <row r="61" spans="1:9" x14ac:dyDescent="0.25">
      <c r="A61" s="6">
        <v>39295</v>
      </c>
      <c r="B61" s="2">
        <v>11426</v>
      </c>
      <c r="C61" s="2">
        <v>1206068.3999999999</v>
      </c>
      <c r="D61" s="5">
        <v>1.363</v>
      </c>
      <c r="E61" s="5"/>
      <c r="F61" s="5"/>
      <c r="G61" s="4">
        <f t="shared" si="0"/>
        <v>0.50026260504201681</v>
      </c>
      <c r="H61" s="2">
        <f t="shared" si="0"/>
        <v>6.0430703003262143E-2</v>
      </c>
      <c r="I61" s="2">
        <f t="shared" si="1"/>
        <v>0.43983190203875466</v>
      </c>
    </row>
    <row r="62" spans="1:9" x14ac:dyDescent="0.25">
      <c r="A62" s="6">
        <v>39326</v>
      </c>
      <c r="B62" s="2">
        <v>8492</v>
      </c>
      <c r="C62" s="2">
        <v>1236667.25</v>
      </c>
      <c r="D62" s="5">
        <v>1.4272</v>
      </c>
      <c r="E62" s="5"/>
      <c r="F62" s="5"/>
      <c r="G62" s="4">
        <f t="shared" si="0"/>
        <v>0.14818820984315847</v>
      </c>
      <c r="H62" s="2">
        <f t="shared" si="0"/>
        <v>8.0377279798829859E-2</v>
      </c>
      <c r="I62" s="2">
        <f t="shared" si="1"/>
        <v>6.7810930044328616E-2</v>
      </c>
    </row>
    <row r="63" spans="1:9" x14ac:dyDescent="0.25">
      <c r="A63" s="6">
        <v>39356</v>
      </c>
      <c r="B63" s="2">
        <v>8464</v>
      </c>
      <c r="C63" s="2">
        <v>1257575.25</v>
      </c>
      <c r="D63" s="5">
        <v>1.4480999999999999</v>
      </c>
      <c r="E63" s="5"/>
      <c r="F63" s="5"/>
      <c r="G63" s="4">
        <f t="shared" si="0"/>
        <v>3.4086744043982896E-2</v>
      </c>
      <c r="H63" s="2">
        <f t="shared" si="0"/>
        <v>7.6335662258804504E-2</v>
      </c>
      <c r="I63" s="2">
        <f t="shared" si="1"/>
        <v>-4.2248918214821608E-2</v>
      </c>
    </row>
    <row r="64" spans="1:9" x14ac:dyDescent="0.25">
      <c r="A64" s="6">
        <v>39387</v>
      </c>
      <c r="B64" s="2">
        <v>8263</v>
      </c>
      <c r="C64" s="2">
        <v>1271856.6000000001</v>
      </c>
      <c r="D64" s="5">
        <v>1.4632000000000001</v>
      </c>
      <c r="E64" s="5"/>
      <c r="F64" s="5"/>
      <c r="G64" s="4">
        <f t="shared" si="0"/>
        <v>-6.2939442050351554E-2</v>
      </c>
      <c r="H64" s="2">
        <f t="shared" si="0"/>
        <v>8.5747298397552602E-2</v>
      </c>
      <c r="I64" s="2">
        <f t="shared" si="1"/>
        <v>-0.14868674044790414</v>
      </c>
    </row>
    <row r="65" spans="1:9" x14ac:dyDescent="0.25">
      <c r="A65" s="6">
        <v>39417</v>
      </c>
      <c r="B65" s="2">
        <v>7191</v>
      </c>
      <c r="C65" s="2">
        <v>1403912.25</v>
      </c>
      <c r="D65" s="5">
        <v>1.4590000000000001</v>
      </c>
      <c r="E65" s="5"/>
      <c r="F65" s="5"/>
      <c r="G65" s="4">
        <f t="shared" si="0"/>
        <v>-0.17817142857142856</v>
      </c>
      <c r="H65" s="2">
        <f t="shared" si="0"/>
        <v>0.18370320749658103</v>
      </c>
      <c r="I65" s="2">
        <f t="shared" si="1"/>
        <v>-0.36187463606800963</v>
      </c>
    </row>
    <row r="66" spans="1:9" x14ac:dyDescent="0.25">
      <c r="A66" s="6">
        <v>39448</v>
      </c>
      <c r="B66" s="2">
        <v>9537</v>
      </c>
      <c r="C66" s="2">
        <v>1321293.25</v>
      </c>
      <c r="D66" s="5">
        <v>1.4865999999999999</v>
      </c>
      <c r="E66" s="5"/>
      <c r="F66" s="5"/>
      <c r="G66" s="4">
        <f t="shared" si="0"/>
        <v>0.20523189687855428</v>
      </c>
      <c r="H66" s="2">
        <f t="shared" si="0"/>
        <v>0.10426996876804696</v>
      </c>
      <c r="I66" s="2">
        <f t="shared" si="1"/>
        <v>0.10096192811050732</v>
      </c>
    </row>
    <row r="67" spans="1:9" x14ac:dyDescent="0.25">
      <c r="A67" s="6">
        <v>39479</v>
      </c>
      <c r="B67" s="2">
        <v>8278</v>
      </c>
      <c r="C67" s="2">
        <v>1336580.6000000001</v>
      </c>
      <c r="D67" s="5">
        <v>1.5181</v>
      </c>
      <c r="E67" s="5">
        <f>AVERAGE(D7:D67)</f>
        <v>1.266</v>
      </c>
      <c r="F67" s="5">
        <f>(D67-E67)*100</f>
        <v>25.21</v>
      </c>
      <c r="G67" s="4">
        <f t="shared" si="0"/>
        <v>-0.27551199019779449</v>
      </c>
      <c r="H67" s="2">
        <f t="shared" si="0"/>
        <v>0.10821293386013613</v>
      </c>
      <c r="I67" s="2">
        <f t="shared" si="1"/>
        <v>-0.38372492405793063</v>
      </c>
    </row>
    <row r="68" spans="1:9" x14ac:dyDescent="0.25">
      <c r="A68" s="6">
        <v>39508</v>
      </c>
      <c r="B68" s="2">
        <v>9839</v>
      </c>
      <c r="C68" s="2">
        <v>1367603.25</v>
      </c>
      <c r="D68" s="5">
        <v>1.5773999999999999</v>
      </c>
      <c r="E68" s="5">
        <f t="shared" ref="E68:E131" si="2">AVERAGE(D8:D68)</f>
        <v>1.2741573770491803</v>
      </c>
      <c r="F68" s="5">
        <f t="shared" ref="F68:F89" si="3">(D68-E68)*100</f>
        <v>30.324262295081962</v>
      </c>
      <c r="G68" s="4">
        <f t="shared" si="0"/>
        <v>0.15861987753179463</v>
      </c>
      <c r="H68" s="2">
        <f t="shared" si="0"/>
        <v>0.10587811717339486</v>
      </c>
      <c r="I68" s="2">
        <f t="shared" si="1"/>
        <v>5.2741760358399767E-2</v>
      </c>
    </row>
    <row r="69" spans="1:9" x14ac:dyDescent="0.25">
      <c r="A69" s="6">
        <v>39539</v>
      </c>
      <c r="B69" s="2">
        <v>9484</v>
      </c>
      <c r="C69" s="2">
        <v>1390501</v>
      </c>
      <c r="D69" s="5">
        <v>1.5617000000000001</v>
      </c>
      <c r="E69" s="5">
        <f t="shared" si="2"/>
        <v>1.2818508196721312</v>
      </c>
      <c r="F69" s="5">
        <f t="shared" si="3"/>
        <v>27.984918032786886</v>
      </c>
      <c r="G69" s="4">
        <f t="shared" si="0"/>
        <v>0.12051039697542533</v>
      </c>
      <c r="H69" s="2">
        <f t="shared" si="0"/>
        <v>0.10570003663796659</v>
      </c>
      <c r="I69" s="2">
        <f t="shared" si="1"/>
        <v>1.4810360337458736E-2</v>
      </c>
    </row>
    <row r="70" spans="1:9" x14ac:dyDescent="0.25">
      <c r="A70" s="6">
        <v>39569</v>
      </c>
      <c r="B70" s="2">
        <v>11060</v>
      </c>
      <c r="C70" s="2">
        <v>1416111.6</v>
      </c>
      <c r="D70" s="5">
        <v>1.5553999999999999</v>
      </c>
      <c r="E70" s="5">
        <f t="shared" si="2"/>
        <v>1.2890163934426231</v>
      </c>
      <c r="F70" s="5">
        <f t="shared" si="3"/>
        <v>26.638360655737682</v>
      </c>
      <c r="G70" s="4">
        <f t="shared" si="0"/>
        <v>0.3384969139537698</v>
      </c>
      <c r="H70" s="2">
        <f t="shared" si="0"/>
        <v>0.1134208054587286</v>
      </c>
      <c r="I70" s="2">
        <f t="shared" si="1"/>
        <v>0.2250761084950412</v>
      </c>
    </row>
    <row r="71" spans="1:9" x14ac:dyDescent="0.25">
      <c r="A71" s="6">
        <v>39600</v>
      </c>
      <c r="B71" s="2">
        <v>9194</v>
      </c>
      <c r="C71" s="2">
        <v>1438554.75</v>
      </c>
      <c r="D71" s="5">
        <v>1.5755999999999999</v>
      </c>
      <c r="E71" s="5">
        <f t="shared" si="2"/>
        <v>1.2955229508196724</v>
      </c>
      <c r="F71" s="5">
        <f t="shared" si="3"/>
        <v>28.007704918032751</v>
      </c>
      <c r="G71" s="4">
        <f t="shared" si="0"/>
        <v>0.27854262272284802</v>
      </c>
      <c r="H71" s="2">
        <f t="shared" si="0"/>
        <v>2.4675687529615901E-2</v>
      </c>
      <c r="I71" s="2">
        <f t="shared" si="1"/>
        <v>0.25386693519323211</v>
      </c>
    </row>
    <row r="72" spans="1:9" x14ac:dyDescent="0.25">
      <c r="A72" s="6">
        <v>39630</v>
      </c>
      <c r="B72" s="2">
        <v>11377</v>
      </c>
      <c r="C72" s="2">
        <v>1433829</v>
      </c>
      <c r="D72" s="5">
        <v>1.5601</v>
      </c>
      <c r="E72" s="5">
        <f t="shared" si="2"/>
        <v>1.3022278688524593</v>
      </c>
      <c r="F72" s="5">
        <f t="shared" si="3"/>
        <v>25.787213114754071</v>
      </c>
      <c r="G72" s="4">
        <f t="shared" si="0"/>
        <v>0.19293278808849743</v>
      </c>
      <c r="H72" s="2">
        <f t="shared" si="0"/>
        <v>8.5170911150874343E-2</v>
      </c>
      <c r="I72" s="2">
        <f t="shared" si="1"/>
        <v>0.10776187693762308</v>
      </c>
    </row>
    <row r="73" spans="1:9" x14ac:dyDescent="0.25">
      <c r="A73" s="6">
        <v>39661</v>
      </c>
      <c r="B73" s="2">
        <v>10443</v>
      </c>
      <c r="C73" s="2">
        <v>1446100.8</v>
      </c>
      <c r="D73" s="5">
        <v>1.4674</v>
      </c>
      <c r="E73" s="5">
        <f t="shared" si="2"/>
        <v>1.3078721311475412</v>
      </c>
      <c r="F73" s="5">
        <f t="shared" si="3"/>
        <v>15.952786885245885</v>
      </c>
      <c r="G73" s="4">
        <f t="shared" si="0"/>
        <v>0.26153660304421356</v>
      </c>
      <c r="H73" s="2">
        <f t="shared" si="0"/>
        <v>8.1940587795453518E-2</v>
      </c>
      <c r="I73" s="2">
        <f t="shared" si="1"/>
        <v>0.17959601524876004</v>
      </c>
    </row>
    <row r="74" spans="1:9" x14ac:dyDescent="0.25">
      <c r="A74" s="6">
        <v>39692</v>
      </c>
      <c r="B74" s="2">
        <v>43106</v>
      </c>
      <c r="C74" s="2">
        <v>1469469.5</v>
      </c>
      <c r="D74" s="5">
        <v>1.4104000000000001</v>
      </c>
      <c r="E74" s="5">
        <f t="shared" si="2"/>
        <v>1.3129934426229508</v>
      </c>
      <c r="F74" s="5">
        <f t="shared" si="3"/>
        <v>9.7406557377049285</v>
      </c>
      <c r="G74" s="4">
        <f t="shared" si="0"/>
        <v>3.3811362943388557</v>
      </c>
      <c r="H74" s="2">
        <f t="shared" si="0"/>
        <v>7.4485235392647689E-2</v>
      </c>
      <c r="I74" s="2">
        <f t="shared" si="1"/>
        <v>3.3066510589462079</v>
      </c>
    </row>
    <row r="75" spans="1:9" x14ac:dyDescent="0.25">
      <c r="A75" s="6">
        <v>39722</v>
      </c>
      <c r="B75" s="2">
        <v>225998</v>
      </c>
      <c r="C75" s="2">
        <v>1920649.2</v>
      </c>
      <c r="D75" s="5">
        <v>1.2733000000000001</v>
      </c>
      <c r="E75" s="5">
        <f t="shared" si="2"/>
        <v>1.3147524590163937</v>
      </c>
      <c r="F75" s="5">
        <f t="shared" si="3"/>
        <v>-4.1452459016393606</v>
      </c>
      <c r="G75" s="4">
        <f t="shared" si="0"/>
        <v>22.829396878954029</v>
      </c>
      <c r="H75" s="2">
        <f t="shared" si="0"/>
        <v>0.38126416306065219</v>
      </c>
      <c r="I75" s="2">
        <f t="shared" si="1"/>
        <v>22.448132715893376</v>
      </c>
    </row>
    <row r="76" spans="1:9" x14ac:dyDescent="0.25">
      <c r="A76" s="6">
        <v>39753</v>
      </c>
      <c r="B76" s="2">
        <v>574333</v>
      </c>
      <c r="C76" s="2">
        <v>1973029.75</v>
      </c>
      <c r="D76" s="5">
        <v>1.2698</v>
      </c>
      <c r="E76" s="5">
        <f t="shared" si="2"/>
        <v>1.3165786885245903</v>
      </c>
      <c r="F76" s="5">
        <f t="shared" si="3"/>
        <v>-4.6778688524590217</v>
      </c>
      <c r="G76" s="4">
        <f t="shared" si="0"/>
        <v>50.928842676311028</v>
      </c>
      <c r="H76" s="2">
        <f t="shared" si="0"/>
        <v>0.39327278302077312</v>
      </c>
      <c r="I76" s="2">
        <f t="shared" si="1"/>
        <v>50.535569893290258</v>
      </c>
    </row>
    <row r="77" spans="1:9" x14ac:dyDescent="0.25">
      <c r="A77" s="6">
        <v>39783</v>
      </c>
      <c r="B77" s="2">
        <v>768928</v>
      </c>
      <c r="C77" s="2">
        <v>2038827.5</v>
      </c>
      <c r="D77" s="5">
        <v>1.3979999999999999</v>
      </c>
      <c r="E77" s="5">
        <f t="shared" si="2"/>
        <v>1.3198344262295083</v>
      </c>
      <c r="F77" s="5">
        <f t="shared" si="3"/>
        <v>7.8165573770491603</v>
      </c>
      <c r="G77" s="4">
        <f t="shared" si="0"/>
        <v>82.63367413530564</v>
      </c>
      <c r="H77" s="2">
        <f t="shared" si="0"/>
        <v>0.41727487257610457</v>
      </c>
      <c r="I77" s="2">
        <f t="shared" si="1"/>
        <v>82.216399262729539</v>
      </c>
    </row>
    <row r="78" spans="1:9" x14ac:dyDescent="0.25">
      <c r="A78" s="6">
        <v>39814</v>
      </c>
      <c r="B78" s="2">
        <v>840840</v>
      </c>
      <c r="C78" s="2">
        <v>2018375.4</v>
      </c>
      <c r="D78" s="5">
        <v>1.2782</v>
      </c>
      <c r="E78" s="5">
        <f t="shared" si="2"/>
        <v>1.3201524590163936</v>
      </c>
      <c r="F78" s="5">
        <f t="shared" si="3"/>
        <v>-4.1952459016393551</v>
      </c>
      <c r="G78" s="4">
        <f t="shared" si="0"/>
        <v>72.907005361694644</v>
      </c>
      <c r="H78" s="2">
        <f t="shared" si="0"/>
        <v>0.40768208761295799</v>
      </c>
      <c r="I78" s="2">
        <f t="shared" si="1"/>
        <v>72.499323274081689</v>
      </c>
    </row>
    <row r="79" spans="1:9" x14ac:dyDescent="0.25">
      <c r="A79" s="6">
        <v>39845</v>
      </c>
      <c r="B79" s="2">
        <v>661573</v>
      </c>
      <c r="C79" s="2">
        <v>1851622.5</v>
      </c>
      <c r="D79" s="5">
        <v>1.2668999999999999</v>
      </c>
      <c r="E79" s="5">
        <f t="shared" si="2"/>
        <v>1.3204803278688524</v>
      </c>
      <c r="F79" s="5">
        <f t="shared" si="3"/>
        <v>-5.3580327868852473</v>
      </c>
      <c r="G79" s="4">
        <f t="shared" si="0"/>
        <v>62.350857033419516</v>
      </c>
      <c r="H79" s="2">
        <f t="shared" si="0"/>
        <v>0.28042422768869218</v>
      </c>
      <c r="I79" s="2">
        <f t="shared" si="1"/>
        <v>62.070432805730825</v>
      </c>
    </row>
    <row r="80" spans="1:9" x14ac:dyDescent="0.25">
      <c r="A80" s="6">
        <v>39873</v>
      </c>
      <c r="B80" s="2">
        <v>712522</v>
      </c>
      <c r="C80" s="2">
        <v>1823970.75</v>
      </c>
      <c r="D80" s="5">
        <v>1.3250999999999999</v>
      </c>
      <c r="E80" s="5">
        <f t="shared" si="2"/>
        <v>1.3217278688524592</v>
      </c>
      <c r="F80" s="5">
        <f t="shared" si="3"/>
        <v>0.33721311475407578</v>
      </c>
      <c r="G80" s="4">
        <f t="shared" si="0"/>
        <v>15.529531851714378</v>
      </c>
      <c r="H80" s="2">
        <f t="shared" si="0"/>
        <v>0.24124437424526335</v>
      </c>
      <c r="I80" s="2">
        <f t="shared" si="1"/>
        <v>15.288287477469114</v>
      </c>
    </row>
    <row r="81" spans="1:9" x14ac:dyDescent="0.25">
      <c r="A81" s="6">
        <v>39904</v>
      </c>
      <c r="B81" s="2">
        <v>846997</v>
      </c>
      <c r="C81" s="2">
        <v>1832057</v>
      </c>
      <c r="D81" s="5">
        <v>1.3226</v>
      </c>
      <c r="E81" s="5">
        <f t="shared" si="2"/>
        <v>1.3232213114754101</v>
      </c>
      <c r="F81" s="5">
        <f t="shared" si="3"/>
        <v>-6.2131147541011345E-2</v>
      </c>
      <c r="G81" s="4">
        <f t="shared" si="0"/>
        <v>2.7478075027212632</v>
      </c>
      <c r="H81" s="2">
        <f t="shared" si="0"/>
        <v>-4.612617442060734E-2</v>
      </c>
      <c r="I81" s="2">
        <f t="shared" si="1"/>
        <v>2.7939336771418706</v>
      </c>
    </row>
    <row r="82" spans="1:9" x14ac:dyDescent="0.25">
      <c r="A82" s="6">
        <v>39934</v>
      </c>
      <c r="B82" s="2">
        <v>859183</v>
      </c>
      <c r="C82" s="2">
        <v>1778992.4</v>
      </c>
      <c r="D82" s="5">
        <v>1.4154</v>
      </c>
      <c r="E82" s="5">
        <f t="shared" si="2"/>
        <v>1.3267819672131149</v>
      </c>
      <c r="F82" s="5">
        <f t="shared" si="3"/>
        <v>8.861803278688507</v>
      </c>
      <c r="G82" s="4">
        <f t="shared" si="0"/>
        <v>0.49596662563356103</v>
      </c>
      <c r="H82" s="2">
        <f t="shared" si="0"/>
        <v>-9.8344867835875302E-2</v>
      </c>
      <c r="I82" s="2">
        <f t="shared" si="1"/>
        <v>0.59431149346943635</v>
      </c>
    </row>
    <row r="83" spans="1:9" x14ac:dyDescent="0.25">
      <c r="A83" s="6">
        <v>39965</v>
      </c>
      <c r="B83" s="2">
        <v>792006</v>
      </c>
      <c r="C83" s="2">
        <v>1797874.75</v>
      </c>
      <c r="D83" s="5">
        <v>1.4036</v>
      </c>
      <c r="E83" s="5">
        <f t="shared" si="2"/>
        <v>1.3298147540983609</v>
      </c>
      <c r="F83" s="5">
        <f t="shared" si="3"/>
        <v>7.3785245901639041</v>
      </c>
      <c r="G83" s="4">
        <f t="shared" si="0"/>
        <v>3.0013213200715802E-2</v>
      </c>
      <c r="H83" s="2">
        <f t="shared" si="0"/>
        <v>-0.11818201883190216</v>
      </c>
      <c r="I83" s="2">
        <f t="shared" si="1"/>
        <v>0.14819523203261797</v>
      </c>
    </row>
    <row r="84" spans="1:9" x14ac:dyDescent="0.25">
      <c r="A84" s="6">
        <v>39995</v>
      </c>
      <c r="B84" s="2">
        <v>755383</v>
      </c>
      <c r="C84" s="2">
        <v>1879638</v>
      </c>
      <c r="D84" s="5">
        <v>1.425</v>
      </c>
      <c r="E84" s="5">
        <f t="shared" si="2"/>
        <v>1.3331967213114755</v>
      </c>
      <c r="F84" s="5">
        <f t="shared" si="3"/>
        <v>9.180327868852455</v>
      </c>
      <c r="G84" s="4">
        <f t="shared" si="0"/>
        <v>-0.10163289091860521</v>
      </c>
      <c r="H84" s="2">
        <f t="shared" si="0"/>
        <v>-6.8737163562338263E-2</v>
      </c>
      <c r="I84" s="2">
        <f t="shared" si="1"/>
        <v>-3.2895727356266946E-2</v>
      </c>
    </row>
    <row r="85" spans="1:9" x14ac:dyDescent="0.25">
      <c r="A85" s="6">
        <v>40026</v>
      </c>
      <c r="B85" s="2">
        <v>776307</v>
      </c>
      <c r="C85" s="2">
        <v>1814346.75</v>
      </c>
      <c r="D85" s="5">
        <v>1.4331</v>
      </c>
      <c r="E85" s="5">
        <f t="shared" si="2"/>
        <v>1.3369852459016394</v>
      </c>
      <c r="F85" s="5">
        <f t="shared" si="3"/>
        <v>9.6114754098360677</v>
      </c>
      <c r="G85" s="4">
        <f t="shared" si="0"/>
        <v>0.17342606182537679</v>
      </c>
      <c r="H85" s="2">
        <f t="shared" si="0"/>
        <v>-2.0131398273676195E-2</v>
      </c>
      <c r="I85" s="2">
        <f t="shared" si="1"/>
        <v>0.19355746009905297</v>
      </c>
    </row>
    <row r="86" spans="1:9" x14ac:dyDescent="0.25">
      <c r="A86" s="6">
        <v>40057</v>
      </c>
      <c r="B86" s="2">
        <v>875641</v>
      </c>
      <c r="C86" s="2">
        <v>1801293.75</v>
      </c>
      <c r="D86" s="5">
        <v>1.4636</v>
      </c>
      <c r="E86" s="5">
        <f t="shared" si="2"/>
        <v>1.3409983606557376</v>
      </c>
      <c r="F86" s="5">
        <f t="shared" si="3"/>
        <v>12.260163934426238</v>
      </c>
      <c r="G86" s="4">
        <f t="shared" si="0"/>
        <v>0.22893187859462585</v>
      </c>
      <c r="H86" s="2">
        <f t="shared" si="0"/>
        <v>-1.2432765163586094E-2</v>
      </c>
      <c r="I86" s="2">
        <f t="shared" si="1"/>
        <v>0.24136464375821196</v>
      </c>
    </row>
    <row r="87" spans="1:9" x14ac:dyDescent="0.25">
      <c r="A87" s="6">
        <v>40087</v>
      </c>
      <c r="B87" s="2">
        <v>1014963</v>
      </c>
      <c r="C87" s="2">
        <v>1802763.8</v>
      </c>
      <c r="D87" s="5">
        <v>1.4718</v>
      </c>
      <c r="E87" s="5">
        <f t="shared" si="2"/>
        <v>1.3447459016393442</v>
      </c>
      <c r="F87" s="5">
        <f t="shared" si="3"/>
        <v>12.705409836065584</v>
      </c>
      <c r="G87" s="4">
        <f t="shared" si="0"/>
        <v>0.19830766814994621</v>
      </c>
      <c r="H87" s="2">
        <f t="shared" si="0"/>
        <v>-1.5989240509438271E-2</v>
      </c>
      <c r="I87" s="2">
        <f t="shared" si="1"/>
        <v>0.2142969086593845</v>
      </c>
    </row>
    <row r="88" spans="1:9" x14ac:dyDescent="0.25">
      <c r="A88" s="6">
        <v>40118</v>
      </c>
      <c r="B88" s="2">
        <v>1094479</v>
      </c>
      <c r="C88" s="2">
        <v>1763488</v>
      </c>
      <c r="D88" s="5">
        <v>1.5008999999999999</v>
      </c>
      <c r="E88" s="5">
        <f t="shared" si="2"/>
        <v>1.3483918032786886</v>
      </c>
      <c r="F88" s="5">
        <f t="shared" si="3"/>
        <v>15.250819672131133</v>
      </c>
      <c r="G88" s="4">
        <f t="shared" si="0"/>
        <v>0.27386016715880085</v>
      </c>
      <c r="H88" s="2">
        <f t="shared" si="0"/>
        <v>-8.7152705093062281E-3</v>
      </c>
      <c r="I88" s="2">
        <f t="shared" si="1"/>
        <v>0.28257543766810705</v>
      </c>
    </row>
    <row r="89" spans="1:9" x14ac:dyDescent="0.25">
      <c r="A89" s="6">
        <v>40148</v>
      </c>
      <c r="B89" s="2">
        <v>1107100</v>
      </c>
      <c r="C89" s="2">
        <v>1799696.5</v>
      </c>
      <c r="D89" s="5">
        <v>1.4318</v>
      </c>
      <c r="E89" s="5">
        <f t="shared" si="2"/>
        <v>1.3500721311475408</v>
      </c>
      <c r="F89" s="5">
        <f t="shared" si="3"/>
        <v>8.1727868852459196</v>
      </c>
      <c r="G89" s="4">
        <f t="shared" si="0"/>
        <v>0.39784294563425027</v>
      </c>
      <c r="H89" s="2">
        <f t="shared" si="0"/>
        <v>1.0132797070541205E-3</v>
      </c>
      <c r="I89" s="2">
        <f t="shared" si="1"/>
        <v>0.39682966592719615</v>
      </c>
    </row>
    <row r="90" spans="1:9" x14ac:dyDescent="0.25">
      <c r="A90" s="6">
        <v>40179</v>
      </c>
      <c r="B90" s="2">
        <v>1059174</v>
      </c>
      <c r="C90" s="2">
        <v>1880625.6</v>
      </c>
      <c r="D90" s="5">
        <v>1.3863000000000001</v>
      </c>
      <c r="E90" s="5">
        <f t="shared" si="2"/>
        <v>1.3505721311475407</v>
      </c>
      <c r="F90" s="5">
        <v>7.7646666666667308</v>
      </c>
      <c r="G90" s="4">
        <f t="shared" si="0"/>
        <v>0.40216817164272955</v>
      </c>
      <c r="H90" s="2">
        <f t="shared" si="0"/>
        <v>5.2542032029576611E-4</v>
      </c>
      <c r="I90" s="2">
        <f t="shared" si="1"/>
        <v>0.40164275132243377</v>
      </c>
    </row>
    <row r="91" spans="1:9" x14ac:dyDescent="0.25">
      <c r="A91" s="6">
        <v>40210</v>
      </c>
      <c r="B91" s="2">
        <v>1177260</v>
      </c>
      <c r="C91" s="2">
        <v>1879768.75</v>
      </c>
      <c r="D91" s="5">
        <v>1.3626</v>
      </c>
      <c r="E91" s="5">
        <f t="shared" si="2"/>
        <v>1.3515426229508198</v>
      </c>
      <c r="F91" s="5">
        <v>1.79350000000007</v>
      </c>
      <c r="G91" s="4">
        <f t="shared" si="0"/>
        <v>0.51648767819947516</v>
      </c>
      <c r="H91" s="2">
        <f t="shared" si="0"/>
        <v>3.605815701987506E-2</v>
      </c>
      <c r="I91" s="2">
        <f t="shared" si="1"/>
        <v>0.48042952117960008</v>
      </c>
    </row>
    <row r="92" spans="1:9" x14ac:dyDescent="0.25">
      <c r="A92" s="6">
        <v>40238</v>
      </c>
      <c r="B92" s="2">
        <v>1149811</v>
      </c>
      <c r="C92" s="2">
        <v>1890404.5</v>
      </c>
      <c r="D92" s="5">
        <v>1.3512</v>
      </c>
      <c r="E92" s="5">
        <f t="shared" si="2"/>
        <v>1.351993442622951</v>
      </c>
      <c r="F92" s="5">
        <v>0.62933333333341501</v>
      </c>
      <c r="G92" s="4">
        <f t="shared" si="0"/>
        <v>0.31310776905147203</v>
      </c>
      <c r="H92" s="2">
        <f t="shared" si="0"/>
        <v>4.9470415361181373E-2</v>
      </c>
      <c r="I92" s="2">
        <f t="shared" si="1"/>
        <v>0.26363735369029068</v>
      </c>
    </row>
    <row r="93" spans="1:9" x14ac:dyDescent="0.25">
      <c r="A93" s="6">
        <v>40269</v>
      </c>
      <c r="B93" s="2">
        <v>1081487</v>
      </c>
      <c r="C93" s="2">
        <v>1943854</v>
      </c>
      <c r="D93" s="5">
        <v>1.3298000000000001</v>
      </c>
      <c r="E93" s="5">
        <f t="shared" si="2"/>
        <v>1.3525426229508197</v>
      </c>
      <c r="F93" s="5">
        <v>-0.97966666666657876</v>
      </c>
      <c r="G93" s="4">
        <f t="shared" si="0"/>
        <v>6.5543275961783831E-2</v>
      </c>
      <c r="H93" s="2">
        <f t="shared" si="0"/>
        <v>7.8263275532823515E-2</v>
      </c>
      <c r="I93" s="2">
        <f t="shared" si="1"/>
        <v>-1.2719999571039683E-2</v>
      </c>
    </row>
    <row r="94" spans="1:9" x14ac:dyDescent="0.25">
      <c r="A94" s="6">
        <v>40299</v>
      </c>
      <c r="B94" s="2">
        <v>1065701</v>
      </c>
      <c r="C94" s="2">
        <v>2051150.5</v>
      </c>
      <c r="D94" s="5">
        <v>1.2305999999999999</v>
      </c>
      <c r="E94" s="5">
        <f t="shared" si="2"/>
        <v>1.3516131147540984</v>
      </c>
      <c r="F94" s="5">
        <v>-9.4973333333332235</v>
      </c>
      <c r="G94" s="4">
        <f t="shared" si="0"/>
        <v>-2.6293789099653807E-2</v>
      </c>
      <c r="H94" s="2">
        <f t="shared" si="0"/>
        <v>0.16312132546408029</v>
      </c>
      <c r="I94" s="2">
        <f t="shared" si="1"/>
        <v>-0.18941511456373408</v>
      </c>
    </row>
    <row r="95" spans="1:9" x14ac:dyDescent="0.25">
      <c r="A95" s="6">
        <v>40330</v>
      </c>
      <c r="B95" s="2">
        <v>1059468</v>
      </c>
      <c r="C95" s="2">
        <v>2121154.75</v>
      </c>
      <c r="D95" s="5">
        <v>1.2236</v>
      </c>
      <c r="E95" s="5">
        <f t="shared" si="2"/>
        <v>1.3514918032786887</v>
      </c>
      <c r="F95" s="5">
        <v>-12.908666666666591</v>
      </c>
      <c r="G95" s="4">
        <f t="shared" si="0"/>
        <v>-4.3024117062595971E-2</v>
      </c>
      <c r="H95" s="2">
        <f t="shared" si="0"/>
        <v>0.17861803365178516</v>
      </c>
      <c r="I95" s="2">
        <f t="shared" si="1"/>
        <v>-0.22164215071438115</v>
      </c>
    </row>
    <row r="96" spans="1:9" x14ac:dyDescent="0.25">
      <c r="A96" s="6">
        <v>40360</v>
      </c>
      <c r="B96" s="2">
        <v>1046740</v>
      </c>
      <c r="C96" s="2">
        <v>2007363.8</v>
      </c>
      <c r="D96" s="5">
        <v>1.3048</v>
      </c>
      <c r="E96" s="5">
        <f t="shared" si="2"/>
        <v>1.3530426229508197</v>
      </c>
      <c r="F96" s="5">
        <v>-7.1569999999999245</v>
      </c>
      <c r="G96" s="4">
        <f t="shared" si="0"/>
        <v>-1.1739336501840112E-2</v>
      </c>
      <c r="H96" s="2">
        <f t="shared" si="0"/>
        <v>6.739151056967424E-2</v>
      </c>
      <c r="I96" s="2">
        <f t="shared" si="1"/>
        <v>-7.9130847071514354E-2</v>
      </c>
    </row>
    <row r="97" spans="1:9" x14ac:dyDescent="0.25">
      <c r="A97" s="6">
        <v>40391</v>
      </c>
      <c r="B97" s="2">
        <v>1047021</v>
      </c>
      <c r="C97" s="2">
        <v>1957995.5</v>
      </c>
      <c r="D97" s="5">
        <v>1.2686999999999999</v>
      </c>
      <c r="E97" s="5">
        <f t="shared" si="2"/>
        <v>1.3539557377049181</v>
      </c>
      <c r="F97" s="5">
        <v>-6.3383333333332459</v>
      </c>
      <c r="G97" s="4">
        <f t="shared" si="0"/>
        <v>-0.11062891799602467</v>
      </c>
      <c r="H97" s="2">
        <f t="shared" si="0"/>
        <v>4.1615092281962876E-2</v>
      </c>
      <c r="I97" s="2">
        <f t="shared" si="1"/>
        <v>-0.15224401027798756</v>
      </c>
    </row>
    <row r="98" spans="1:9" x14ac:dyDescent="0.25">
      <c r="A98" s="6">
        <v>40422</v>
      </c>
      <c r="B98" s="2">
        <v>1012686</v>
      </c>
      <c r="C98" s="2">
        <v>1969579</v>
      </c>
      <c r="D98" s="5">
        <v>1.3633</v>
      </c>
      <c r="E98" s="5">
        <f t="shared" si="2"/>
        <v>1.3560688524590163</v>
      </c>
      <c r="F98" s="5">
        <v>-4.4831666666665937</v>
      </c>
      <c r="G98" s="4">
        <f t="shared" si="0"/>
        <v>-0.11925873034785717</v>
      </c>
      <c r="H98" s="2">
        <f t="shared" si="0"/>
        <v>4.188230614135758E-2</v>
      </c>
      <c r="I98" s="2">
        <f t="shared" si="1"/>
        <v>-0.16114103648921474</v>
      </c>
    </row>
    <row r="99" spans="1:9" x14ac:dyDescent="0.25">
      <c r="A99" s="6">
        <v>40452</v>
      </c>
      <c r="B99" s="2">
        <v>998472</v>
      </c>
      <c r="C99" s="2">
        <v>1876885</v>
      </c>
      <c r="D99" s="5">
        <v>1.395</v>
      </c>
      <c r="E99" s="5">
        <f t="shared" si="2"/>
        <v>1.3592163934426229</v>
      </c>
      <c r="F99" s="5">
        <v>3.1836666666666957</v>
      </c>
      <c r="G99" s="4">
        <f t="shared" si="0"/>
        <v>-7.6760053518904983E-2</v>
      </c>
      <c r="H99" s="2">
        <f t="shared" si="0"/>
        <v>-3.4451661493095677E-2</v>
      </c>
      <c r="I99" s="2">
        <f t="shared" si="1"/>
        <v>-4.2308392025809306E-2</v>
      </c>
    </row>
    <row r="100" spans="1:9" x14ac:dyDescent="0.25">
      <c r="A100" s="6">
        <v>40483</v>
      </c>
      <c r="B100" s="2">
        <v>995187</v>
      </c>
      <c r="C100" s="2">
        <v>1892420.25</v>
      </c>
      <c r="D100" s="5">
        <v>1.298</v>
      </c>
      <c r="E100" s="5">
        <f t="shared" si="2"/>
        <v>1.3608426229508195</v>
      </c>
      <c r="F100" s="5">
        <v>0.40283333333337445</v>
      </c>
      <c r="G100" s="4">
        <f t="shared" si="0"/>
        <v>-6.6166776609949698E-2</v>
      </c>
      <c r="H100" s="2">
        <f t="shared" si="0"/>
        <v>-7.7385959733330151E-2</v>
      </c>
      <c r="I100" s="2">
        <f t="shared" si="1"/>
        <v>1.1219183123380452E-2</v>
      </c>
    </row>
    <row r="101" spans="1:9" x14ac:dyDescent="0.25">
      <c r="A101" s="6">
        <v>40513</v>
      </c>
      <c r="B101" s="2">
        <v>1029680</v>
      </c>
      <c r="C101" s="2">
        <v>1950321.8</v>
      </c>
      <c r="D101" s="5">
        <v>1.3379000000000001</v>
      </c>
      <c r="E101" s="5">
        <f t="shared" si="2"/>
        <v>1.3634491803278688</v>
      </c>
      <c r="F101" s="5">
        <v>-4.1538333333333011</v>
      </c>
      <c r="G101" s="4">
        <f t="shared" si="0"/>
        <v>-2.8115997840425573E-2</v>
      </c>
      <c r="H101" s="2">
        <f t="shared" si="0"/>
        <v>-8.0537711828898836E-2</v>
      </c>
      <c r="I101" s="2">
        <f t="shared" si="1"/>
        <v>5.2421713988473263E-2</v>
      </c>
    </row>
    <row r="102" spans="1:9" x14ac:dyDescent="0.25">
      <c r="A102" s="6">
        <v>40544</v>
      </c>
      <c r="B102" s="2">
        <v>1054267</v>
      </c>
      <c r="C102" s="2">
        <v>1962432.75</v>
      </c>
      <c r="D102" s="5">
        <v>1.3686</v>
      </c>
      <c r="E102" s="5">
        <f t="shared" si="2"/>
        <v>1.3664704918032786</v>
      </c>
      <c r="F102" s="5">
        <v>-2.8613333333333157</v>
      </c>
      <c r="G102" s="4">
        <f t="shared" si="0"/>
        <v>7.1908974530446911E-3</v>
      </c>
      <c r="H102" s="2">
        <f t="shared" si="0"/>
        <v>-2.2383112617653085E-2</v>
      </c>
      <c r="I102" s="2">
        <f t="shared" si="1"/>
        <v>2.9574010070697775E-2</v>
      </c>
    </row>
    <row r="103" spans="1:9" x14ac:dyDescent="0.25">
      <c r="A103" s="6">
        <v>40575</v>
      </c>
      <c r="B103" s="2">
        <v>1182580</v>
      </c>
      <c r="C103" s="2">
        <v>1970627.75</v>
      </c>
      <c r="D103" s="5">
        <v>1.3802000000000001</v>
      </c>
      <c r="E103" s="5">
        <f t="shared" si="2"/>
        <v>1.3691704918032788</v>
      </c>
      <c r="F103" s="5">
        <v>-0.29733333333332723</v>
      </c>
      <c r="G103" s="4">
        <f t="shared" si="0"/>
        <v>0.12947113763716295</v>
      </c>
      <c r="H103" s="2">
        <f t="shared" si="0"/>
        <v>6.4516236120052374E-3</v>
      </c>
      <c r="I103" s="2">
        <f t="shared" si="1"/>
        <v>0.12301951402515771</v>
      </c>
    </row>
    <row r="104" spans="1:9" x14ac:dyDescent="0.25">
      <c r="A104" s="6">
        <v>40603</v>
      </c>
      <c r="B104" s="2">
        <v>1377752</v>
      </c>
      <c r="C104" s="2">
        <v>1940167.5</v>
      </c>
      <c r="D104" s="5">
        <v>1.4165000000000001</v>
      </c>
      <c r="E104" s="5">
        <f t="shared" si="2"/>
        <v>1.3728491803278691</v>
      </c>
      <c r="F104" s="5">
        <v>3.0106666666666504</v>
      </c>
      <c r="G104" s="4">
        <f t="shared" si="0"/>
        <v>0.36049278848527577</v>
      </c>
      <c r="H104" s="2">
        <f t="shared" si="0"/>
        <v>-1.4932886672735646E-2</v>
      </c>
      <c r="I104" s="2">
        <f t="shared" si="1"/>
        <v>0.3754256751580114</v>
      </c>
    </row>
    <row r="105" spans="1:9" x14ac:dyDescent="0.25">
      <c r="A105" s="6">
        <v>40634</v>
      </c>
      <c r="B105" s="2">
        <v>1488196</v>
      </c>
      <c r="C105" s="2">
        <v>1885721.4</v>
      </c>
      <c r="D105" s="5">
        <v>1.4799</v>
      </c>
      <c r="E105" s="5">
        <f t="shared" si="2"/>
        <v>1.3772426229508199</v>
      </c>
      <c r="F105" s="5">
        <v>7.0461666666666423</v>
      </c>
      <c r="G105" s="4">
        <f t="shared" si="0"/>
        <v>0.49047344342154814</v>
      </c>
      <c r="H105" s="2">
        <f t="shared" si="0"/>
        <v>4.7080135437173329E-3</v>
      </c>
      <c r="I105" s="2">
        <f t="shared" si="1"/>
        <v>0.48576542987783078</v>
      </c>
    </row>
    <row r="106" spans="1:9" x14ac:dyDescent="0.25">
      <c r="A106" s="6">
        <v>40664</v>
      </c>
      <c r="B106" s="2">
        <v>1525772</v>
      </c>
      <c r="C106" s="2">
        <v>1899248.75</v>
      </c>
      <c r="D106" s="5">
        <v>1.4394</v>
      </c>
      <c r="E106" s="5">
        <f t="shared" si="2"/>
        <v>1.3801229508196724</v>
      </c>
      <c r="F106" s="5">
        <v>5.5348333333333333</v>
      </c>
      <c r="G106" s="4">
        <f t="shared" si="0"/>
        <v>0.53315105603268531</v>
      </c>
      <c r="H106" s="2">
        <f t="shared" si="0"/>
        <v>3.6083422802096945E-3</v>
      </c>
      <c r="I106" s="2">
        <f t="shared" si="1"/>
        <v>0.52954271375247564</v>
      </c>
    </row>
    <row r="107" spans="1:9" x14ac:dyDescent="0.25">
      <c r="A107" s="6">
        <v>40695</v>
      </c>
      <c r="B107" s="2">
        <v>1617673</v>
      </c>
      <c r="C107" s="2">
        <v>1919570</v>
      </c>
      <c r="D107" s="5">
        <v>1.4503999999999999</v>
      </c>
      <c r="E107" s="5">
        <f t="shared" si="2"/>
        <v>1.3828967213114758</v>
      </c>
      <c r="F107" s="5">
        <v>5.9244999999999992</v>
      </c>
      <c r="G107" s="4">
        <f t="shared" si="0"/>
        <v>0.57104440214435548</v>
      </c>
      <c r="H107" s="2">
        <f t="shared" si="0"/>
        <v>-1.5767551795811362E-2</v>
      </c>
      <c r="I107" s="2">
        <f t="shared" si="1"/>
        <v>0.58681195394016683</v>
      </c>
    </row>
    <row r="108" spans="1:9" x14ac:dyDescent="0.25">
      <c r="A108" s="6">
        <v>40725</v>
      </c>
      <c r="B108" s="2">
        <v>1654827</v>
      </c>
      <c r="C108" s="2">
        <v>1965562</v>
      </c>
      <c r="D108" s="5">
        <v>1.4395</v>
      </c>
      <c r="E108" s="5">
        <f t="shared" si="2"/>
        <v>1.3855295081967212</v>
      </c>
      <c r="F108" s="5">
        <v>4.3788333333333318</v>
      </c>
      <c r="G108" s="4">
        <f t="shared" si="0"/>
        <v>0.56964696798818515</v>
      </c>
      <c r="H108" s="2">
        <f t="shared" si="0"/>
        <v>1.5945769351841483E-3</v>
      </c>
      <c r="I108" s="2">
        <f t="shared" si="1"/>
        <v>0.56805239105300098</v>
      </c>
    </row>
    <row r="109" spans="1:9" x14ac:dyDescent="0.25">
      <c r="A109" s="6">
        <v>40756</v>
      </c>
      <c r="B109" s="2">
        <v>1622452</v>
      </c>
      <c r="C109" s="2">
        <v>2056399</v>
      </c>
      <c r="D109" s="5">
        <v>1.4377</v>
      </c>
      <c r="E109" s="5">
        <f t="shared" si="2"/>
        <v>1.3881754098360657</v>
      </c>
      <c r="F109" s="5">
        <v>4.7050000000000036</v>
      </c>
      <c r="G109" s="4">
        <f t="shared" si="0"/>
        <v>0.37195961372592129</v>
      </c>
      <c r="H109" s="2">
        <f t="shared" si="0"/>
        <v>4.3524836184814709E-2</v>
      </c>
      <c r="I109" s="2">
        <f t="shared" si="1"/>
        <v>0.32843477754110656</v>
      </c>
    </row>
    <row r="110" spans="1:9" x14ac:dyDescent="0.25">
      <c r="A110" s="6">
        <v>40787</v>
      </c>
      <c r="B110" s="2">
        <v>1594509</v>
      </c>
      <c r="C110" s="2">
        <v>2152570.6</v>
      </c>
      <c r="D110" s="5">
        <v>1.3384</v>
      </c>
      <c r="E110" s="5">
        <f t="shared" si="2"/>
        <v>1.38912131147541</v>
      </c>
      <c r="F110" s="5">
        <v>-1.3258333333333372</v>
      </c>
      <c r="G110" s="4">
        <f t="shared" si="0"/>
        <v>0.15732657256168017</v>
      </c>
      <c r="H110" s="2">
        <f t="shared" si="0"/>
        <v>0.1094766817813411</v>
      </c>
      <c r="I110" s="2">
        <f t="shared" si="1"/>
        <v>4.7849890780339077E-2</v>
      </c>
    </row>
    <row r="111" spans="1:9" x14ac:dyDescent="0.25">
      <c r="A111" s="6">
        <v>40817</v>
      </c>
      <c r="B111" s="2">
        <v>1599282</v>
      </c>
      <c r="C111" s="2">
        <v>2313283</v>
      </c>
      <c r="D111" s="5">
        <v>1.3855999999999999</v>
      </c>
      <c r="E111" s="5">
        <f t="shared" si="2"/>
        <v>1.3910622950819671</v>
      </c>
      <c r="F111" s="5">
        <v>-1.6616666666666946</v>
      </c>
      <c r="G111" s="4">
        <f t="shared" si="0"/>
        <v>7.4644737655523874E-2</v>
      </c>
      <c r="H111" s="2">
        <f t="shared" si="0"/>
        <v>0.22673635670677553</v>
      </c>
      <c r="I111" s="2">
        <f t="shared" si="1"/>
        <v>-0.15209161905125165</v>
      </c>
    </row>
    <row r="112" spans="1:9" x14ac:dyDescent="0.25">
      <c r="A112" s="6">
        <v>40848</v>
      </c>
      <c r="B112" s="2">
        <v>1549913</v>
      </c>
      <c r="C112" s="2">
        <v>2371249.5</v>
      </c>
      <c r="D112" s="5">
        <v>1.3441000000000001</v>
      </c>
      <c r="E112" s="5">
        <f t="shared" si="2"/>
        <v>1.3921737704918034</v>
      </c>
      <c r="F112" s="5">
        <v>-3.5133333333333461</v>
      </c>
      <c r="G112" s="4">
        <f t="shared" si="0"/>
        <v>1.5822154293039851E-2</v>
      </c>
      <c r="H112" s="2">
        <f t="shared" si="0"/>
        <v>0.24851971075405474</v>
      </c>
      <c r="I112" s="2">
        <f t="shared" si="1"/>
        <v>-0.23269755646101489</v>
      </c>
    </row>
    <row r="113" spans="1:9" x14ac:dyDescent="0.25">
      <c r="A113" s="6">
        <v>40878</v>
      </c>
      <c r="B113" s="2">
        <v>1548050</v>
      </c>
      <c r="C113" s="2">
        <v>2571834</v>
      </c>
      <c r="D113" s="5">
        <v>1.2945</v>
      </c>
      <c r="E113" s="5">
        <f t="shared" si="2"/>
        <v>1.3916885245901642</v>
      </c>
      <c r="F113" s="5">
        <v>-7.535000000000025</v>
      </c>
      <c r="G113" s="4">
        <f t="shared" si="0"/>
        <v>-4.3038982538498201E-2</v>
      </c>
      <c r="H113" s="2">
        <f t="shared" si="0"/>
        <v>0.33979693368827396</v>
      </c>
      <c r="I113" s="2">
        <f t="shared" si="1"/>
        <v>-0.38283591622677215</v>
      </c>
    </row>
    <row r="114" spans="1:9" x14ac:dyDescent="0.25">
      <c r="A114" s="6">
        <v>40909</v>
      </c>
      <c r="B114" s="2">
        <v>1565080</v>
      </c>
      <c r="C114" s="2">
        <v>2688407.75</v>
      </c>
      <c r="D114" s="5">
        <v>1.3078000000000001</v>
      </c>
      <c r="E114" s="5">
        <f t="shared" si="2"/>
        <v>1.3914901639344266</v>
      </c>
      <c r="F114" s="5">
        <v>-9.9711666666666865</v>
      </c>
      <c r="G114" s="4">
        <f t="shared" si="0"/>
        <v>-5.4233463679284902E-2</v>
      </c>
      <c r="H114" s="2">
        <f t="shared" si="0"/>
        <v>0.36775525269617543</v>
      </c>
      <c r="I114" s="2">
        <f t="shared" si="1"/>
        <v>-0.42198871637546032</v>
      </c>
    </row>
    <row r="115" spans="1:9" x14ac:dyDescent="0.25">
      <c r="A115" s="6">
        <v>40940</v>
      </c>
      <c r="B115" s="2">
        <v>1607416</v>
      </c>
      <c r="C115" s="2">
        <v>2668442.25</v>
      </c>
      <c r="D115" s="5">
        <v>1.3324</v>
      </c>
      <c r="E115" s="5">
        <f t="shared" si="2"/>
        <v>1.3919655737704921</v>
      </c>
      <c r="F115" s="5">
        <v>-6.7174999999999985</v>
      </c>
      <c r="G115" s="4">
        <f t="shared" si="0"/>
        <v>-9.2674544454936104E-3</v>
      </c>
      <c r="H115" s="2">
        <f t="shared" si="0"/>
        <v>0.2976286459972019</v>
      </c>
      <c r="I115" s="2">
        <f t="shared" si="1"/>
        <v>-0.3068961004426955</v>
      </c>
    </row>
    <row r="116" spans="1:9" x14ac:dyDescent="0.25">
      <c r="A116" s="6">
        <v>40969</v>
      </c>
      <c r="B116" s="2">
        <v>1555259</v>
      </c>
      <c r="C116" s="2">
        <v>2992502.2</v>
      </c>
      <c r="D116" s="5">
        <v>1.3343</v>
      </c>
      <c r="E116" s="5">
        <f t="shared" si="2"/>
        <v>1.39214262295082</v>
      </c>
      <c r="F116" s="5">
        <v>-7.0111666666666794</v>
      </c>
      <c r="G116" s="4">
        <f t="shared" si="0"/>
        <v>-2.4615728101879637E-2</v>
      </c>
      <c r="H116" s="2">
        <f t="shared" si="0"/>
        <v>0.39019932726016049</v>
      </c>
      <c r="I116" s="2">
        <f t="shared" si="1"/>
        <v>-0.41481505536204011</v>
      </c>
    </row>
    <row r="117" spans="1:9" x14ac:dyDescent="0.25">
      <c r="A117" s="6">
        <v>41000</v>
      </c>
      <c r="B117" s="2">
        <v>1550321</v>
      </c>
      <c r="C117" s="2">
        <v>2967351</v>
      </c>
      <c r="D117" s="5">
        <v>1.3240000000000001</v>
      </c>
      <c r="E117" s="5">
        <f t="shared" si="2"/>
        <v>1.3919491803278692</v>
      </c>
      <c r="F117" s="5">
        <v>-7.4323333333333519</v>
      </c>
      <c r="G117" s="4">
        <f t="shared" si="0"/>
        <v>-3.0614363195483975E-2</v>
      </c>
      <c r="H117" s="2">
        <f t="shared" si="0"/>
        <v>0.28274448046347983</v>
      </c>
      <c r="I117" s="2">
        <f t="shared" si="1"/>
        <v>-0.31335884365896383</v>
      </c>
    </row>
    <row r="118" spans="1:9" x14ac:dyDescent="0.25">
      <c r="A118" s="6">
        <v>41030</v>
      </c>
      <c r="B118" s="2">
        <v>1505447</v>
      </c>
      <c r="C118" s="2">
        <v>2971850.75</v>
      </c>
      <c r="D118" s="5">
        <v>1.2356</v>
      </c>
      <c r="E118" s="5">
        <f t="shared" si="2"/>
        <v>1.3898327868852463</v>
      </c>
      <c r="F118" s="5">
        <v>-10.853666666666694</v>
      </c>
      <c r="G118" s="4">
        <f t="shared" si="0"/>
        <v>-2.8689352241061273E-2</v>
      </c>
      <c r="H118" s="2">
        <f t="shared" si="0"/>
        <v>0.25328471339688213</v>
      </c>
      <c r="I118" s="2">
        <f t="shared" si="1"/>
        <v>-0.28197406563794342</v>
      </c>
    </row>
    <row r="119" spans="1:9" x14ac:dyDescent="0.25">
      <c r="A119" s="6">
        <v>41061</v>
      </c>
      <c r="B119" s="2">
        <v>1508761</v>
      </c>
      <c r="C119" s="2">
        <v>3039940.2</v>
      </c>
      <c r="D119" s="5">
        <v>1.2658</v>
      </c>
      <c r="E119" s="5">
        <f t="shared" si="2"/>
        <v>1.3885295081967215</v>
      </c>
      <c r="F119" s="5">
        <v>-13.357000000000019</v>
      </c>
      <c r="G119" s="4">
        <f t="shared" si="0"/>
        <v>-2.5379671199250671E-2</v>
      </c>
      <c r="H119" s="2">
        <f t="shared" si="0"/>
        <v>0.18201260267964425</v>
      </c>
      <c r="I119" s="2">
        <f t="shared" si="1"/>
        <v>-0.20739227387889492</v>
      </c>
    </row>
    <row r="120" spans="1:9" x14ac:dyDescent="0.25">
      <c r="A120" s="6">
        <v>41091</v>
      </c>
      <c r="B120" s="2">
        <v>1527242</v>
      </c>
      <c r="C120" s="2">
        <v>3089636.25</v>
      </c>
      <c r="D120" s="5">
        <v>1.2302999999999999</v>
      </c>
      <c r="E120" s="5">
        <f t="shared" si="2"/>
        <v>1.3864983606557379</v>
      </c>
      <c r="F120" s="5">
        <v>-15.745666666666702</v>
      </c>
      <c r="G120" s="4">
        <f t="shared" si="0"/>
        <v>-2.4176399928438164E-2</v>
      </c>
      <c r="H120" s="2">
        <f t="shared" si="0"/>
        <v>0.14924391584572691</v>
      </c>
      <c r="I120" s="2">
        <f t="shared" si="1"/>
        <v>-0.17342031577416508</v>
      </c>
    </row>
    <row r="121" spans="1:9" x14ac:dyDescent="0.25">
      <c r="A121" s="6">
        <v>41122</v>
      </c>
      <c r="B121" s="2">
        <v>1536896</v>
      </c>
      <c r="C121" s="2">
        <v>3084620.4</v>
      </c>
      <c r="D121" s="5">
        <v>1.2575000000000001</v>
      </c>
      <c r="E121" s="5">
        <f t="shared" si="2"/>
        <v>1.3846983606557379</v>
      </c>
      <c r="F121" s="5">
        <v>-14.262333333333377</v>
      </c>
      <c r="G121" s="4">
        <f t="shared" si="0"/>
        <v>-4.3871654879632904E-2</v>
      </c>
      <c r="H121" s="2">
        <f t="shared" si="0"/>
        <v>0.15596295928832632</v>
      </c>
      <c r="I121" s="2">
        <f t="shared" si="1"/>
        <v>-0.19983461416795922</v>
      </c>
    </row>
    <row r="122" spans="1:9" x14ac:dyDescent="0.25">
      <c r="A122" s="6">
        <v>41153</v>
      </c>
      <c r="B122" s="2">
        <v>1475567</v>
      </c>
      <c r="C122" s="2">
        <v>3066619.25</v>
      </c>
      <c r="D122" s="5">
        <v>1.2858000000000001</v>
      </c>
      <c r="E122" s="5">
        <f t="shared" si="2"/>
        <v>1.3834327868852461</v>
      </c>
      <c r="F122" s="5">
        <v>-9.3015000000000505</v>
      </c>
      <c r="G122" s="4">
        <f t="shared" si="0"/>
        <v>-5.1240340033396364E-2</v>
      </c>
      <c r="H122" s="2">
        <f t="shared" si="0"/>
        <v>2.4767584130765154E-2</v>
      </c>
      <c r="I122" s="2">
        <f t="shared" si="1"/>
        <v>-7.6007924164161522E-2</v>
      </c>
    </row>
    <row r="123" spans="1:9" x14ac:dyDescent="0.25">
      <c r="A123" s="6">
        <v>41183</v>
      </c>
      <c r="B123" s="2">
        <v>1474261</v>
      </c>
      <c r="C123" s="2">
        <v>3052335.5</v>
      </c>
      <c r="D123" s="5">
        <v>1.2958000000000001</v>
      </c>
      <c r="E123" s="5">
        <f t="shared" si="2"/>
        <v>1.3812786885245902</v>
      </c>
      <c r="F123" s="5">
        <v>-8.2016666666667071</v>
      </c>
      <c r="G123" s="4">
        <f t="shared" ref="G123:H186" si="4">(B123-B117)/B117</f>
        <v>-4.9060807406982168E-2</v>
      </c>
      <c r="H123" s="2">
        <f t="shared" si="4"/>
        <v>2.8639854199924444E-2</v>
      </c>
      <c r="I123" s="2">
        <f t="shared" ref="I123:I186" si="5">G123-H123</f>
        <v>-7.7700661606906612E-2</v>
      </c>
    </row>
    <row r="124" spans="1:9" x14ac:dyDescent="0.25">
      <c r="A124" s="6">
        <v>41214</v>
      </c>
      <c r="B124" s="2">
        <v>1495673</v>
      </c>
      <c r="C124" s="2">
        <v>3037888.6</v>
      </c>
      <c r="D124" s="5">
        <v>1.2984</v>
      </c>
      <c r="E124" s="5">
        <f t="shared" si="2"/>
        <v>1.3788245901639344</v>
      </c>
      <c r="F124" s="5">
        <v>-9.2640000000000278</v>
      </c>
      <c r="G124" s="4">
        <f t="shared" si="4"/>
        <v>-6.4924238448779668E-3</v>
      </c>
      <c r="H124" s="2">
        <f t="shared" si="4"/>
        <v>2.2221119280636855E-2</v>
      </c>
      <c r="I124" s="2">
        <f t="shared" si="5"/>
        <v>-2.8713543125514822E-2</v>
      </c>
    </row>
    <row r="125" spans="1:9" x14ac:dyDescent="0.25">
      <c r="A125" s="6">
        <v>41244</v>
      </c>
      <c r="B125" s="2">
        <v>1516760</v>
      </c>
      <c r="C125" s="2">
        <v>3021158</v>
      </c>
      <c r="D125" s="5">
        <v>1.3193999999999999</v>
      </c>
      <c r="E125" s="5">
        <f t="shared" si="2"/>
        <v>1.3764672131147542</v>
      </c>
      <c r="F125" s="5">
        <v>-6.2040000000000095</v>
      </c>
      <c r="G125" s="4">
        <f t="shared" si="4"/>
        <v>5.3017011972075097E-3</v>
      </c>
      <c r="H125" s="2">
        <f t="shared" si="4"/>
        <v>-6.178476800300277E-3</v>
      </c>
      <c r="I125" s="2">
        <f t="shared" si="5"/>
        <v>1.1480177997507786E-2</v>
      </c>
    </row>
    <row r="126" spans="1:9" x14ac:dyDescent="0.25">
      <c r="A126" s="6">
        <v>41275</v>
      </c>
      <c r="B126" s="2">
        <v>1570181</v>
      </c>
      <c r="C126" s="2">
        <v>2944922.25</v>
      </c>
      <c r="D126" s="5">
        <v>1.3577999999999999</v>
      </c>
      <c r="E126" s="5">
        <f t="shared" si="2"/>
        <v>1.3748081967213117</v>
      </c>
      <c r="F126" s="5">
        <v>-4.1166666666666574</v>
      </c>
      <c r="G126" s="4">
        <f t="shared" si="4"/>
        <v>2.8115387083382987E-2</v>
      </c>
      <c r="H126" s="2">
        <f t="shared" si="4"/>
        <v>-4.6838523466961525E-2</v>
      </c>
      <c r="I126" s="2">
        <f t="shared" si="5"/>
        <v>7.4953910550344505E-2</v>
      </c>
    </row>
    <row r="127" spans="1:9" x14ac:dyDescent="0.25">
      <c r="A127" s="6">
        <v>41306</v>
      </c>
      <c r="B127" s="2">
        <v>1672138</v>
      </c>
      <c r="C127" s="2">
        <v>2760453.5</v>
      </c>
      <c r="D127" s="5">
        <v>1.3056000000000001</v>
      </c>
      <c r="E127" s="5">
        <f t="shared" si="2"/>
        <v>1.3718409836065573</v>
      </c>
      <c r="F127" s="5">
        <v>-3.4513333333333396</v>
      </c>
      <c r="G127" s="4">
        <f t="shared" si="4"/>
        <v>8.7996845590072453E-2</v>
      </c>
      <c r="H127" s="2">
        <f t="shared" si="4"/>
        <v>-0.10509134284400114</v>
      </c>
      <c r="I127" s="2">
        <f t="shared" si="5"/>
        <v>0.1930881884340736</v>
      </c>
    </row>
    <row r="128" spans="1:9" x14ac:dyDescent="0.25">
      <c r="A128" s="6">
        <v>41334</v>
      </c>
      <c r="B128" s="2">
        <v>1759689</v>
      </c>
      <c r="C128" s="2">
        <v>2657047.2000000002</v>
      </c>
      <c r="D128" s="5">
        <v>1.2818000000000001</v>
      </c>
      <c r="E128" s="5">
        <f t="shared" si="2"/>
        <v>1.3679672131147542</v>
      </c>
      <c r="F128" s="5">
        <v>-6.9634999999999891</v>
      </c>
      <c r="G128" s="4">
        <f t="shared" si="4"/>
        <v>0.19255106681024989</v>
      </c>
      <c r="H128" s="2">
        <f t="shared" si="4"/>
        <v>-0.13355816833146136</v>
      </c>
      <c r="I128" s="2">
        <f t="shared" si="5"/>
        <v>0.32610923514171125</v>
      </c>
    </row>
    <row r="129" spans="1:9" x14ac:dyDescent="0.25">
      <c r="A129" s="6">
        <v>41365</v>
      </c>
      <c r="B129" s="2">
        <v>1829720</v>
      </c>
      <c r="C129" s="2">
        <v>2627516.5</v>
      </c>
      <c r="D129" s="5">
        <v>1.3166</v>
      </c>
      <c r="E129" s="5">
        <f t="shared" si="2"/>
        <v>1.3636918032786884</v>
      </c>
      <c r="F129" s="5">
        <v>-5.788666666666642</v>
      </c>
      <c r="G129" s="4">
        <f t="shared" si="4"/>
        <v>0.24110995271529262</v>
      </c>
      <c r="H129" s="2">
        <f t="shared" si="4"/>
        <v>-0.13917834392713382</v>
      </c>
      <c r="I129" s="2">
        <f t="shared" si="5"/>
        <v>0.38028829664242647</v>
      </c>
    </row>
    <row r="130" spans="1:9" x14ac:dyDescent="0.25">
      <c r="A130" s="6">
        <v>41395</v>
      </c>
      <c r="B130" s="2">
        <v>1908591</v>
      </c>
      <c r="C130" s="2">
        <v>2580290.7999999998</v>
      </c>
      <c r="D130" s="5">
        <v>1.2995000000000001</v>
      </c>
      <c r="E130" s="5">
        <f t="shared" si="2"/>
        <v>1.3593934426229506</v>
      </c>
      <c r="F130" s="5">
        <v>-5.7801666666666085</v>
      </c>
      <c r="G130" s="4">
        <f t="shared" si="4"/>
        <v>0.27607505116425851</v>
      </c>
      <c r="H130" s="2">
        <f t="shared" si="4"/>
        <v>-0.15063021073254637</v>
      </c>
      <c r="I130" s="2">
        <f t="shared" si="5"/>
        <v>0.42670526189680491</v>
      </c>
    </row>
    <row r="131" spans="1:9" x14ac:dyDescent="0.25">
      <c r="A131" s="6">
        <v>41426</v>
      </c>
      <c r="B131" s="2">
        <v>2006425</v>
      </c>
      <c r="C131" s="2">
        <v>2518257</v>
      </c>
      <c r="D131" s="5">
        <v>1.3008</v>
      </c>
      <c r="E131" s="5">
        <f t="shared" si="2"/>
        <v>1.3552196721311474</v>
      </c>
      <c r="F131" s="5">
        <v>-3.2459999999999045</v>
      </c>
      <c r="G131" s="4">
        <f t="shared" si="4"/>
        <v>0.3228361771143754</v>
      </c>
      <c r="H131" s="2">
        <f t="shared" si="4"/>
        <v>-0.16645968201596872</v>
      </c>
      <c r="I131" s="2">
        <f t="shared" si="5"/>
        <v>0.48929585913034412</v>
      </c>
    </row>
    <row r="132" spans="1:9" x14ac:dyDescent="0.25">
      <c r="A132" s="6">
        <v>41456</v>
      </c>
      <c r="B132" s="2">
        <v>2087132</v>
      </c>
      <c r="C132" s="2">
        <v>2404705</v>
      </c>
      <c r="D132" s="5">
        <v>1.33</v>
      </c>
      <c r="E132" s="5">
        <f t="shared" ref="E132:E195" si="6">AVERAGE(D72:D132)</f>
        <v>1.3511934426229504</v>
      </c>
      <c r="F132" s="5">
        <v>-3.8908333333332878</v>
      </c>
      <c r="G132" s="4">
        <f t="shared" si="4"/>
        <v>0.32923019702824069</v>
      </c>
      <c r="H132" s="2">
        <f t="shared" si="4"/>
        <v>-0.18344024192828859</v>
      </c>
      <c r="I132" s="2">
        <f t="shared" si="5"/>
        <v>0.51267043895652931</v>
      </c>
    </row>
    <row r="133" spans="1:9" x14ac:dyDescent="0.25">
      <c r="A133" s="6">
        <v>41487</v>
      </c>
      <c r="B133" s="2">
        <v>2190785</v>
      </c>
      <c r="C133" s="2">
        <v>2372080.7999999998</v>
      </c>
      <c r="D133" s="5">
        <v>1.3220000000000001</v>
      </c>
      <c r="E133" s="5">
        <f t="shared" si="6"/>
        <v>1.3472901639344259</v>
      </c>
      <c r="F133" s="5">
        <v>-1.3573333333332771</v>
      </c>
      <c r="G133" s="4">
        <f t="shared" si="4"/>
        <v>0.31016997400932222</v>
      </c>
      <c r="H133" s="2">
        <f t="shared" si="4"/>
        <v>-0.14069162911094144</v>
      </c>
      <c r="I133" s="2">
        <f t="shared" si="5"/>
        <v>0.45086160312026369</v>
      </c>
    </row>
    <row r="134" spans="1:9" x14ac:dyDescent="0.25">
      <c r="A134" s="6">
        <v>41518</v>
      </c>
      <c r="B134" s="2">
        <v>2276101</v>
      </c>
      <c r="C134" s="2">
        <v>2347859.25</v>
      </c>
      <c r="D134" s="5">
        <v>1.3524</v>
      </c>
      <c r="E134" s="5">
        <f t="shared" si="6"/>
        <v>1.3454049180327863</v>
      </c>
      <c r="F134" s="5">
        <v>-0.69433333333328573</v>
      </c>
      <c r="G134" s="4">
        <f t="shared" si="4"/>
        <v>0.29346776617913733</v>
      </c>
      <c r="H134" s="2">
        <f t="shared" si="4"/>
        <v>-0.11636524560045458</v>
      </c>
      <c r="I134" s="2">
        <f t="shared" si="5"/>
        <v>0.40983301177959192</v>
      </c>
    </row>
    <row r="135" spans="1:9" x14ac:dyDescent="0.25">
      <c r="A135" s="6">
        <v>41548</v>
      </c>
      <c r="B135" s="2">
        <v>2364811</v>
      </c>
      <c r="C135" s="2">
        <v>2334426.75</v>
      </c>
      <c r="D135" s="5">
        <v>1.3582000000000001</v>
      </c>
      <c r="E135" s="5">
        <f t="shared" si="6"/>
        <v>1.3445491803278686</v>
      </c>
      <c r="F135" s="5">
        <v>2.0623333333333882</v>
      </c>
      <c r="G135" s="4">
        <f t="shared" si="4"/>
        <v>0.29244419911243252</v>
      </c>
      <c r="H135" s="2">
        <f t="shared" si="4"/>
        <v>-0.11154630237336283</v>
      </c>
      <c r="I135" s="2">
        <f t="shared" si="5"/>
        <v>0.40399050148579535</v>
      </c>
    </row>
    <row r="136" spans="1:9" x14ac:dyDescent="0.25">
      <c r="A136" s="6">
        <v>41579</v>
      </c>
      <c r="B136" s="2">
        <v>2457510</v>
      </c>
      <c r="C136" s="2">
        <v>2300679.6</v>
      </c>
      <c r="D136" s="5">
        <v>1.3589</v>
      </c>
      <c r="E136" s="5">
        <f t="shared" si="6"/>
        <v>1.3459524590163932</v>
      </c>
      <c r="F136" s="5">
        <v>0.387833333333365</v>
      </c>
      <c r="G136" s="4">
        <f t="shared" si="4"/>
        <v>0.28760431124321556</v>
      </c>
      <c r="H136" s="2">
        <f t="shared" si="4"/>
        <v>-0.10836422003287371</v>
      </c>
      <c r="I136" s="2">
        <f t="shared" si="5"/>
        <v>0.39596853127608928</v>
      </c>
    </row>
    <row r="137" spans="1:9" x14ac:dyDescent="0.25">
      <c r="A137" s="6">
        <v>41609</v>
      </c>
      <c r="B137" s="2">
        <v>2503022</v>
      </c>
      <c r="C137" s="2">
        <v>2284186</v>
      </c>
      <c r="D137" s="5">
        <v>1.3745000000000001</v>
      </c>
      <c r="E137" s="5">
        <f t="shared" si="6"/>
        <v>1.3476688524590161</v>
      </c>
      <c r="F137" s="5">
        <v>2.5250000000000439</v>
      </c>
      <c r="G137" s="4">
        <f t="shared" si="4"/>
        <v>0.24750339534246235</v>
      </c>
      <c r="H137" s="2">
        <f t="shared" si="4"/>
        <v>-9.294960760557798E-2</v>
      </c>
      <c r="I137" s="2">
        <f t="shared" si="5"/>
        <v>0.34045300294804032</v>
      </c>
    </row>
    <row r="138" spans="1:9" x14ac:dyDescent="0.25">
      <c r="A138" s="6">
        <v>41640</v>
      </c>
      <c r="B138" s="2">
        <v>2479529</v>
      </c>
      <c r="C138" s="2">
        <v>2227056.7999999998</v>
      </c>
      <c r="D138" s="5">
        <v>1.3485</v>
      </c>
      <c r="E138" s="5">
        <f t="shared" si="6"/>
        <v>1.3468573770491798</v>
      </c>
      <c r="F138" s="5">
        <v>1.5626666666666456</v>
      </c>
      <c r="G138" s="4">
        <f t="shared" si="4"/>
        <v>0.18800775418133592</v>
      </c>
      <c r="H138" s="2">
        <f t="shared" si="4"/>
        <v>-7.3875257048161905E-2</v>
      </c>
      <c r="I138" s="2">
        <f t="shared" si="5"/>
        <v>0.26188301122949781</v>
      </c>
    </row>
    <row r="139" spans="1:9" x14ac:dyDescent="0.25">
      <c r="A139" s="6">
        <v>41671</v>
      </c>
      <c r="B139" s="2">
        <v>2587049</v>
      </c>
      <c r="C139" s="2">
        <v>2186591</v>
      </c>
      <c r="D139" s="5">
        <v>1.3802000000000001</v>
      </c>
      <c r="E139" s="5">
        <f t="shared" si="6"/>
        <v>1.348529508196721</v>
      </c>
      <c r="F139" s="5">
        <v>1.888000000000023</v>
      </c>
      <c r="G139" s="4">
        <f t="shared" si="4"/>
        <v>0.18087763062098747</v>
      </c>
      <c r="H139" s="2">
        <f t="shared" si="4"/>
        <v>-7.8197083337127396E-2</v>
      </c>
      <c r="I139" s="2">
        <f t="shared" si="5"/>
        <v>0.25907471395811488</v>
      </c>
    </row>
    <row r="140" spans="1:9" x14ac:dyDescent="0.25">
      <c r="A140" s="6">
        <v>41699</v>
      </c>
      <c r="B140" s="2">
        <v>2634690</v>
      </c>
      <c r="C140" s="2">
        <v>2164569.5</v>
      </c>
      <c r="D140" s="5">
        <v>1.377</v>
      </c>
      <c r="E140" s="5">
        <f t="shared" si="6"/>
        <v>1.3503344262295078</v>
      </c>
      <c r="F140" s="5">
        <v>3.3883333333333043</v>
      </c>
      <c r="G140" s="4">
        <f t="shared" si="4"/>
        <v>0.15754529346456944</v>
      </c>
      <c r="H140" s="2">
        <f t="shared" si="4"/>
        <v>-7.8066753788584214E-2</v>
      </c>
      <c r="I140" s="2">
        <f t="shared" si="5"/>
        <v>0.23561204725315366</v>
      </c>
    </row>
    <row r="141" spans="1:9" x14ac:dyDescent="0.25">
      <c r="A141" s="6">
        <v>41730</v>
      </c>
      <c r="B141" s="2">
        <v>2648202</v>
      </c>
      <c r="C141" s="2">
        <v>2166732.5</v>
      </c>
      <c r="D141" s="5">
        <v>1.3866000000000001</v>
      </c>
      <c r="E141" s="5">
        <f t="shared" si="6"/>
        <v>1.3513426229508192</v>
      </c>
      <c r="F141" s="5">
        <v>3.106500000000012</v>
      </c>
      <c r="G141" s="4">
        <f t="shared" si="4"/>
        <v>0.11983663810765427</v>
      </c>
      <c r="H141" s="2">
        <f t="shared" si="4"/>
        <v>-7.1835301750204847E-2</v>
      </c>
      <c r="I141" s="2">
        <f t="shared" si="5"/>
        <v>0.19167193985785913</v>
      </c>
    </row>
    <row r="142" spans="1:9" x14ac:dyDescent="0.25">
      <c r="A142" s="6">
        <v>41760</v>
      </c>
      <c r="B142" s="2">
        <v>2628846</v>
      </c>
      <c r="C142" s="2">
        <v>2186135.4</v>
      </c>
      <c r="D142" s="5">
        <v>1.363</v>
      </c>
      <c r="E142" s="5">
        <f t="shared" si="6"/>
        <v>1.3520049180327864</v>
      </c>
      <c r="F142" s="5">
        <v>2.3809999999999665</v>
      </c>
      <c r="G142" s="4">
        <f t="shared" si="4"/>
        <v>6.9719350073855241E-2</v>
      </c>
      <c r="H142" s="2">
        <f t="shared" si="4"/>
        <v>-4.9787115076779999E-2</v>
      </c>
      <c r="I142" s="2">
        <f t="shared" si="5"/>
        <v>0.11950646515063523</v>
      </c>
    </row>
    <row r="143" spans="1:9" x14ac:dyDescent="0.25">
      <c r="A143" s="6">
        <v>41791</v>
      </c>
      <c r="B143" s="2">
        <v>2683202</v>
      </c>
      <c r="C143" s="2">
        <v>2116167.75</v>
      </c>
      <c r="D143" s="5">
        <v>1.3691</v>
      </c>
      <c r="E143" s="5">
        <f t="shared" si="6"/>
        <v>1.3512459016393441</v>
      </c>
      <c r="F143" s="5">
        <v>1.0108333333333164</v>
      </c>
      <c r="G143" s="4">
        <f t="shared" si="4"/>
        <v>7.1984984550675146E-2</v>
      </c>
      <c r="H143" s="2">
        <f t="shared" si="4"/>
        <v>-7.3557166535474783E-2</v>
      </c>
      <c r="I143" s="2">
        <f t="shared" si="5"/>
        <v>0.14554215108614993</v>
      </c>
    </row>
    <row r="144" spans="1:9" x14ac:dyDescent="0.25">
      <c r="A144" s="6">
        <v>41821</v>
      </c>
      <c r="B144" s="2">
        <v>2688504</v>
      </c>
      <c r="C144" s="2">
        <v>2058540.5</v>
      </c>
      <c r="D144" s="5">
        <v>1.3388</v>
      </c>
      <c r="E144" s="5">
        <f t="shared" si="6"/>
        <v>1.3501836065573769</v>
      </c>
      <c r="F144" s="5">
        <v>0.48399999999997334</v>
      </c>
      <c r="G144" s="4">
        <f t="shared" si="4"/>
        <v>8.4280119329114528E-2</v>
      </c>
      <c r="H144" s="2">
        <f t="shared" si="4"/>
        <v>-7.5667715345203515E-2</v>
      </c>
      <c r="I144" s="2">
        <f t="shared" si="5"/>
        <v>0.15994783467431806</v>
      </c>
    </row>
    <row r="145" spans="1:9" x14ac:dyDescent="0.25">
      <c r="A145" s="6">
        <v>41852</v>
      </c>
      <c r="B145" s="2">
        <v>2786273</v>
      </c>
      <c r="C145" s="2">
        <v>2031970.4</v>
      </c>
      <c r="D145" s="5">
        <v>1.3131999999999999</v>
      </c>
      <c r="E145" s="5">
        <f t="shared" si="6"/>
        <v>1.348350819672131</v>
      </c>
      <c r="F145" s="5">
        <v>-1.5375000000000361</v>
      </c>
      <c r="G145" s="4">
        <f t="shared" si="4"/>
        <v>7.7008205101642843E-2</v>
      </c>
      <c r="H145" s="2">
        <f t="shared" si="4"/>
        <v>-7.0713087175425168E-2</v>
      </c>
      <c r="I145" s="2">
        <f t="shared" si="5"/>
        <v>0.14772129227706801</v>
      </c>
    </row>
    <row r="146" spans="1:9" x14ac:dyDescent="0.25">
      <c r="A146" s="6">
        <v>41883</v>
      </c>
      <c r="B146" s="2">
        <v>2773758</v>
      </c>
      <c r="C146" s="2">
        <v>2010580</v>
      </c>
      <c r="D146" s="5">
        <v>1.2630999999999999</v>
      </c>
      <c r="E146" s="5">
        <f t="shared" si="6"/>
        <v>1.3455639344262291</v>
      </c>
      <c r="F146" s="5">
        <v>-5.5165000000000131</v>
      </c>
      <c r="G146" s="4">
        <f t="shared" si="4"/>
        <v>5.2783439417920137E-2</v>
      </c>
      <c r="H146" s="2">
        <f t="shared" si="4"/>
        <v>-7.1140935876625816E-2</v>
      </c>
      <c r="I146" s="2">
        <f t="shared" si="5"/>
        <v>0.12392437529454595</v>
      </c>
    </row>
    <row r="147" spans="1:9" x14ac:dyDescent="0.25">
      <c r="A147" s="6">
        <v>41913</v>
      </c>
      <c r="B147" s="2">
        <v>2713355</v>
      </c>
      <c r="C147" s="2">
        <v>2042186.2</v>
      </c>
      <c r="D147" s="5">
        <v>1.2524</v>
      </c>
      <c r="E147" s="5">
        <f t="shared" si="6"/>
        <v>1.342101639344262</v>
      </c>
      <c r="F147" s="5">
        <v>-7.2791666666667254</v>
      </c>
      <c r="G147" s="4">
        <f t="shared" si="4"/>
        <v>2.4602730456362468E-2</v>
      </c>
      <c r="H147" s="2">
        <f t="shared" si="4"/>
        <v>-5.7481161149334332E-2</v>
      </c>
      <c r="I147" s="2">
        <f t="shared" si="5"/>
        <v>8.2083891605696804E-2</v>
      </c>
    </row>
    <row r="148" spans="1:9" x14ac:dyDescent="0.25">
      <c r="A148" s="6">
        <v>41944</v>
      </c>
      <c r="B148" s="2">
        <v>2533977</v>
      </c>
      <c r="C148" s="2">
        <v>2036237.5</v>
      </c>
      <c r="D148" s="5">
        <v>1.2450000000000001</v>
      </c>
      <c r="E148" s="5">
        <f t="shared" si="6"/>
        <v>1.3383836065573769</v>
      </c>
      <c r="F148" s="5">
        <v>-8.9133333333333518</v>
      </c>
      <c r="G148" s="4">
        <f t="shared" si="4"/>
        <v>-3.6087697795915016E-2</v>
      </c>
      <c r="H148" s="2">
        <f t="shared" si="4"/>
        <v>-6.8567527885052271E-2</v>
      </c>
      <c r="I148" s="2">
        <f t="shared" si="5"/>
        <v>3.2479830089137254E-2</v>
      </c>
    </row>
    <row r="149" spans="1:9" x14ac:dyDescent="0.25">
      <c r="A149" s="6">
        <v>41974</v>
      </c>
      <c r="B149" s="2">
        <v>2585215</v>
      </c>
      <c r="C149" s="2">
        <v>2089471.5</v>
      </c>
      <c r="D149" s="5">
        <v>1.2097</v>
      </c>
      <c r="E149" s="5">
        <f t="shared" si="6"/>
        <v>1.3336098360655737</v>
      </c>
      <c r="F149" s="5">
        <v>-9.9783333333333335</v>
      </c>
      <c r="G149" s="4">
        <f t="shared" si="4"/>
        <v>-3.6518681783928308E-2</v>
      </c>
      <c r="H149" s="2">
        <f t="shared" si="4"/>
        <v>-1.2615375127987846E-2</v>
      </c>
      <c r="I149" s="2">
        <f t="shared" si="5"/>
        <v>-2.3903306655940461E-2</v>
      </c>
    </row>
    <row r="150" spans="1:9" x14ac:dyDescent="0.25">
      <c r="A150" s="6">
        <v>42005</v>
      </c>
      <c r="B150" s="2">
        <v>2685512</v>
      </c>
      <c r="C150" s="2">
        <v>2176957.6</v>
      </c>
      <c r="D150" s="5">
        <v>1.1286</v>
      </c>
      <c r="E150" s="5">
        <f t="shared" si="6"/>
        <v>1.328639344262295</v>
      </c>
      <c r="F150" s="5">
        <v>-16.676500000000051</v>
      </c>
      <c r="G150" s="4">
        <f t="shared" si="4"/>
        <v>-1.1128865718630138E-3</v>
      </c>
      <c r="H150" s="2">
        <f t="shared" si="4"/>
        <v>5.752478515725102E-2</v>
      </c>
      <c r="I150" s="2">
        <f t="shared" si="5"/>
        <v>-5.8637671729114035E-2</v>
      </c>
    </row>
    <row r="151" spans="1:9" x14ac:dyDescent="0.25">
      <c r="A151" s="6">
        <v>42036</v>
      </c>
      <c r="B151" s="2">
        <v>2501813</v>
      </c>
      <c r="C151" s="2">
        <v>2156741.75</v>
      </c>
      <c r="D151" s="5">
        <v>1.1193</v>
      </c>
      <c r="E151" s="5">
        <f t="shared" si="6"/>
        <v>1.3242622950819669</v>
      </c>
      <c r="F151" s="5">
        <v>-18.938166666666724</v>
      </c>
      <c r="G151" s="4">
        <f t="shared" si="4"/>
        <v>-0.10209336988873667</v>
      </c>
      <c r="H151" s="2">
        <f t="shared" si="4"/>
        <v>6.1404117894630794E-2</v>
      </c>
      <c r="I151" s="2">
        <f t="shared" si="5"/>
        <v>-0.16349748778336748</v>
      </c>
    </row>
    <row r="152" spans="1:9" x14ac:dyDescent="0.25">
      <c r="A152" s="6">
        <v>42064</v>
      </c>
      <c r="B152" s="2">
        <v>2674979</v>
      </c>
      <c r="C152" s="2">
        <v>2171394.25</v>
      </c>
      <c r="D152" s="5">
        <v>1.073</v>
      </c>
      <c r="E152" s="5">
        <f t="shared" si="6"/>
        <v>1.3195147540983603</v>
      </c>
      <c r="F152" s="5">
        <v>-23.789666666666733</v>
      </c>
      <c r="G152" s="4">
        <f t="shared" si="4"/>
        <v>-3.5611974800973986E-2</v>
      </c>
      <c r="H152" s="2">
        <f t="shared" si="4"/>
        <v>7.998400958927275E-2</v>
      </c>
      <c r="I152" s="2">
        <f t="shared" si="5"/>
        <v>-0.11559598439024674</v>
      </c>
    </row>
    <row r="153" spans="1:9" x14ac:dyDescent="0.25">
      <c r="A153" s="6">
        <v>42095</v>
      </c>
      <c r="B153" s="2">
        <v>2695596</v>
      </c>
      <c r="C153" s="2">
        <v>2346985.25</v>
      </c>
      <c r="D153" s="5">
        <v>1.1222000000000001</v>
      </c>
      <c r="E153" s="5">
        <f t="shared" si="6"/>
        <v>1.3157606557377048</v>
      </c>
      <c r="F153" s="5">
        <v>-23.327166666666699</v>
      </c>
      <c r="G153" s="4">
        <f t="shared" si="4"/>
        <v>-6.5450337313031287E-3</v>
      </c>
      <c r="H153" s="2">
        <f t="shared" si="4"/>
        <v>0.14925135132144171</v>
      </c>
      <c r="I153" s="2">
        <f t="shared" si="5"/>
        <v>-0.15579638505274485</v>
      </c>
    </row>
    <row r="154" spans="1:9" x14ac:dyDescent="0.25">
      <c r="A154" s="6">
        <v>42125</v>
      </c>
      <c r="B154" s="2">
        <v>2590157</v>
      </c>
      <c r="C154" s="2">
        <v>2391650.6</v>
      </c>
      <c r="D154" s="5">
        <v>1.0987</v>
      </c>
      <c r="E154" s="5">
        <f t="shared" si="6"/>
        <v>1.311972131147541</v>
      </c>
      <c r="F154" s="5">
        <v>-19.644500000000022</v>
      </c>
      <c r="G154" s="4">
        <f t="shared" si="4"/>
        <v>2.2170682685754447E-2</v>
      </c>
      <c r="H154" s="2">
        <f t="shared" si="4"/>
        <v>0.17454403035009428</v>
      </c>
      <c r="I154" s="2">
        <f t="shared" si="5"/>
        <v>-0.15237334766433983</v>
      </c>
    </row>
    <row r="155" spans="1:9" x14ac:dyDescent="0.25">
      <c r="A155" s="6">
        <v>42156</v>
      </c>
      <c r="B155" s="2">
        <v>2562669</v>
      </c>
      <c r="C155" s="2">
        <v>2465478.75</v>
      </c>
      <c r="D155" s="5">
        <v>1.1134999999999999</v>
      </c>
      <c r="E155" s="5">
        <f t="shared" si="6"/>
        <v>1.3100524590163936</v>
      </c>
      <c r="F155" s="5">
        <v>-18.888333333333374</v>
      </c>
      <c r="G155" s="4">
        <f t="shared" si="4"/>
        <v>-8.7211315113056367E-3</v>
      </c>
      <c r="H155" s="2">
        <f t="shared" si="4"/>
        <v>0.17995328005191744</v>
      </c>
      <c r="I155" s="2">
        <f t="shared" si="5"/>
        <v>-0.18867441156322307</v>
      </c>
    </row>
    <row r="156" spans="1:9" x14ac:dyDescent="0.25">
      <c r="A156" s="6">
        <v>42186</v>
      </c>
      <c r="B156" s="2">
        <v>2577766</v>
      </c>
      <c r="C156" s="2">
        <v>2517184.2000000002</v>
      </c>
      <c r="D156" s="5">
        <v>1.0987</v>
      </c>
      <c r="E156" s="5">
        <f t="shared" si="6"/>
        <v>1.3080049180327868</v>
      </c>
      <c r="F156" s="5">
        <v>-20.876000000000051</v>
      </c>
      <c r="G156" s="4">
        <f t="shared" si="4"/>
        <v>-4.0121213385008146E-2</v>
      </c>
      <c r="H156" s="2">
        <f t="shared" si="4"/>
        <v>0.15628535897989013</v>
      </c>
      <c r="I156" s="2">
        <f t="shared" si="5"/>
        <v>-0.19640657236489828</v>
      </c>
    </row>
    <row r="157" spans="1:9" x14ac:dyDescent="0.25">
      <c r="A157" s="6">
        <v>42217</v>
      </c>
      <c r="B157" s="2">
        <v>2592078</v>
      </c>
      <c r="C157" s="2">
        <v>2546653.75</v>
      </c>
      <c r="D157" s="5">
        <v>1.1211</v>
      </c>
      <c r="E157" s="5">
        <f t="shared" si="6"/>
        <v>1.3049934426229506</v>
      </c>
      <c r="F157" s="5">
        <v>-19.191500000000026</v>
      </c>
      <c r="G157" s="4">
        <f t="shared" si="4"/>
        <v>3.607983490372782E-2</v>
      </c>
      <c r="H157" s="2">
        <f t="shared" si="4"/>
        <v>0.18078752358737432</v>
      </c>
      <c r="I157" s="2">
        <f t="shared" si="5"/>
        <v>-0.1447076886836465</v>
      </c>
    </row>
    <row r="158" spans="1:9" x14ac:dyDescent="0.25">
      <c r="A158" s="6">
        <v>42248</v>
      </c>
      <c r="B158" s="2">
        <v>2649386</v>
      </c>
      <c r="C158" s="2">
        <v>2594634</v>
      </c>
      <c r="D158" s="5">
        <v>1.1175999999999999</v>
      </c>
      <c r="E158" s="5">
        <f t="shared" si="6"/>
        <v>1.3025163934426227</v>
      </c>
      <c r="F158" s="5">
        <v>-17.949166666666706</v>
      </c>
      <c r="G158" s="4">
        <f t="shared" si="4"/>
        <v>-9.5675517452660369E-3</v>
      </c>
      <c r="H158" s="2">
        <f t="shared" si="4"/>
        <v>0.19491612359201926</v>
      </c>
      <c r="I158" s="2">
        <f t="shared" si="5"/>
        <v>-0.20448367533728529</v>
      </c>
    </row>
    <row r="159" spans="1:9" x14ac:dyDescent="0.25">
      <c r="A159" s="6">
        <v>42278</v>
      </c>
      <c r="B159" s="2">
        <v>2670220</v>
      </c>
      <c r="C159" s="2">
        <v>2643584.2000000002</v>
      </c>
      <c r="D159" s="5">
        <v>1.1005</v>
      </c>
      <c r="E159" s="5">
        <f t="shared" si="6"/>
        <v>1.2982081967213113</v>
      </c>
      <c r="F159" s="5">
        <v>-17.513666666666694</v>
      </c>
      <c r="G159" s="4">
        <f t="shared" si="4"/>
        <v>-9.413873592333569E-3</v>
      </c>
      <c r="H159" s="2">
        <f t="shared" si="4"/>
        <v>0.12637444142437632</v>
      </c>
      <c r="I159" s="2">
        <f t="shared" si="5"/>
        <v>-0.13578831501670988</v>
      </c>
    </row>
    <row r="160" spans="1:9" x14ac:dyDescent="0.25">
      <c r="A160" s="6">
        <v>42309</v>
      </c>
      <c r="B160" s="2">
        <v>2621572</v>
      </c>
      <c r="C160" s="2">
        <v>2687615</v>
      </c>
      <c r="D160" s="5">
        <v>1.0563</v>
      </c>
      <c r="E160" s="5">
        <f t="shared" si="6"/>
        <v>1.2926557377049179</v>
      </c>
      <c r="F160" s="5">
        <v>-22.035833333333343</v>
      </c>
      <c r="G160" s="4">
        <f t="shared" si="4"/>
        <v>1.2128608420261783E-2</v>
      </c>
      <c r="H160" s="2">
        <f t="shared" si="4"/>
        <v>0.12374901250207697</v>
      </c>
      <c r="I160" s="2">
        <f t="shared" si="5"/>
        <v>-0.11162040408181519</v>
      </c>
    </row>
    <row r="161" spans="1:9" x14ac:dyDescent="0.25">
      <c r="A161" s="6">
        <v>42339</v>
      </c>
      <c r="B161" s="2">
        <v>2458629</v>
      </c>
      <c r="C161" s="2">
        <v>2744414</v>
      </c>
      <c r="D161" s="5">
        <v>1.0860000000000001</v>
      </c>
      <c r="E161" s="5">
        <f t="shared" si="6"/>
        <v>1.2891803278688523</v>
      </c>
      <c r="F161" s="5">
        <v>-20.027166666666663</v>
      </c>
      <c r="G161" s="4">
        <f t="shared" si="4"/>
        <v>-4.0598298102486122E-2</v>
      </c>
      <c r="H161" s="2">
        <f t="shared" si="4"/>
        <v>0.11313634319500827</v>
      </c>
      <c r="I161" s="2">
        <f t="shared" si="5"/>
        <v>-0.1537346412974944</v>
      </c>
    </row>
    <row r="162" spans="1:9" x14ac:dyDescent="0.25">
      <c r="A162" s="6">
        <v>42370</v>
      </c>
      <c r="B162" s="2">
        <v>2348519</v>
      </c>
      <c r="C162" s="2">
        <v>2785831.4</v>
      </c>
      <c r="D162" s="5">
        <v>1.0833999999999999</v>
      </c>
      <c r="E162" s="5">
        <f t="shared" si="6"/>
        <v>1.2850081967213114</v>
      </c>
      <c r="F162" s="5">
        <v>-19.9478333333333</v>
      </c>
      <c r="G162" s="4">
        <f t="shared" si="4"/>
        <v>-8.8932432191285007E-2</v>
      </c>
      <c r="H162" s="2">
        <f t="shared" si="4"/>
        <v>0.1067252845461209</v>
      </c>
      <c r="I162" s="2">
        <f t="shared" si="5"/>
        <v>-0.1956577167374059</v>
      </c>
    </row>
    <row r="163" spans="1:9" x14ac:dyDescent="0.25">
      <c r="A163" s="6">
        <v>42401</v>
      </c>
      <c r="B163" s="2">
        <v>2429151</v>
      </c>
      <c r="C163" s="2">
        <v>2831847.5</v>
      </c>
      <c r="D163" s="5">
        <v>1.0871</v>
      </c>
      <c r="E163" s="5">
        <f t="shared" si="6"/>
        <v>1.2803934426229506</v>
      </c>
      <c r="F163" s="5">
        <v>-17.15049999999998</v>
      </c>
      <c r="G163" s="4">
        <f t="shared" si="4"/>
        <v>-6.2855747396490386E-2</v>
      </c>
      <c r="H163" s="2">
        <f t="shared" si="4"/>
        <v>0.11198764260748051</v>
      </c>
      <c r="I163" s="2">
        <f t="shared" si="5"/>
        <v>-0.17484339000397089</v>
      </c>
    </row>
    <row r="164" spans="1:9" x14ac:dyDescent="0.25">
      <c r="A164" s="6">
        <v>42430</v>
      </c>
      <c r="B164" s="2">
        <v>2465573</v>
      </c>
      <c r="C164" s="2">
        <v>2879014</v>
      </c>
      <c r="D164" s="5">
        <v>1.1377999999999999</v>
      </c>
      <c r="E164" s="5">
        <f t="shared" si="6"/>
        <v>1.2764196721311474</v>
      </c>
      <c r="F164" s="5">
        <v>-16.249499999999962</v>
      </c>
      <c r="G164" s="4">
        <f t="shared" si="4"/>
        <v>-6.9379471319015049E-2</v>
      </c>
      <c r="H164" s="2">
        <f t="shared" si="4"/>
        <v>0.1096031270691743</v>
      </c>
      <c r="I164" s="2">
        <f t="shared" si="5"/>
        <v>-0.17898259838818936</v>
      </c>
    </row>
    <row r="165" spans="1:9" x14ac:dyDescent="0.25">
      <c r="A165" s="6">
        <v>42461</v>
      </c>
      <c r="B165" s="2">
        <v>2433304</v>
      </c>
      <c r="C165" s="2">
        <v>2968989.2</v>
      </c>
      <c r="D165" s="5">
        <v>1.1454</v>
      </c>
      <c r="E165" s="5">
        <f t="shared" si="6"/>
        <v>1.2719754098360654</v>
      </c>
      <c r="F165" s="5">
        <v>-13.610499999999991</v>
      </c>
      <c r="G165" s="4">
        <f t="shared" si="4"/>
        <v>-8.8725273572964031E-2</v>
      </c>
      <c r="H165" s="2">
        <f t="shared" si="4"/>
        <v>0.12309235317717514</v>
      </c>
      <c r="I165" s="2">
        <f t="shared" si="5"/>
        <v>-0.21181762675013915</v>
      </c>
    </row>
    <row r="166" spans="1:9" x14ac:dyDescent="0.25">
      <c r="A166" s="6">
        <v>42491</v>
      </c>
      <c r="B166" s="2">
        <v>2377858</v>
      </c>
      <c r="C166" s="2">
        <v>3043052.75</v>
      </c>
      <c r="D166" s="5">
        <v>1.1129</v>
      </c>
      <c r="E166" s="5">
        <f t="shared" si="6"/>
        <v>1.2659590163934424</v>
      </c>
      <c r="F166" s="5">
        <v>-13.446666666666696</v>
      </c>
      <c r="G166" s="4">
        <f t="shared" si="4"/>
        <v>-9.2964831787950133E-2</v>
      </c>
      <c r="H166" s="2">
        <f t="shared" si="4"/>
        <v>0.13225024789636908</v>
      </c>
      <c r="I166" s="2">
        <f t="shared" si="5"/>
        <v>-0.2252150796843192</v>
      </c>
    </row>
    <row r="167" spans="1:9" x14ac:dyDescent="0.25">
      <c r="A167" s="6">
        <v>42522</v>
      </c>
      <c r="B167" s="2">
        <v>2378197</v>
      </c>
      <c r="C167" s="2">
        <v>3103290.25</v>
      </c>
      <c r="D167" s="5">
        <v>1.1104000000000001</v>
      </c>
      <c r="E167" s="5">
        <f t="shared" si="6"/>
        <v>1.2605655737704917</v>
      </c>
      <c r="F167" s="5">
        <v>-13.718166666666676</v>
      </c>
      <c r="G167" s="4">
        <f t="shared" si="4"/>
        <v>-3.2714167123221928E-2</v>
      </c>
      <c r="H167" s="2">
        <f t="shared" si="4"/>
        <v>0.13076607610950827</v>
      </c>
      <c r="I167" s="2">
        <f t="shared" si="5"/>
        <v>-0.16348024323273019</v>
      </c>
    </row>
    <row r="168" spans="1:9" x14ac:dyDescent="0.25">
      <c r="A168" s="6">
        <v>42552</v>
      </c>
      <c r="B168" s="2">
        <v>2303460</v>
      </c>
      <c r="C168" s="2">
        <v>3253972.4</v>
      </c>
      <c r="D168" s="5">
        <v>1.117</v>
      </c>
      <c r="E168" s="5">
        <f t="shared" si="6"/>
        <v>1.2551000000000001</v>
      </c>
      <c r="F168" s="5">
        <v>-14.951500000000006</v>
      </c>
      <c r="G168" s="4">
        <f t="shared" si="4"/>
        <v>-1.9186133899704451E-2</v>
      </c>
      <c r="H168" s="2">
        <f t="shared" si="4"/>
        <v>0.16804355066139323</v>
      </c>
      <c r="I168" s="2">
        <f t="shared" si="5"/>
        <v>-0.18722968456109768</v>
      </c>
    </row>
    <row r="169" spans="1:9" x14ac:dyDescent="0.25">
      <c r="A169" s="6">
        <v>42583</v>
      </c>
      <c r="B169" s="2">
        <v>2350526</v>
      </c>
      <c r="C169" s="2">
        <v>3306629.25</v>
      </c>
      <c r="D169" s="5">
        <v>1.1155999999999999</v>
      </c>
      <c r="E169" s="5">
        <f t="shared" si="6"/>
        <v>1.2497901639344264</v>
      </c>
      <c r="F169" s="5">
        <v>-12.910500000000003</v>
      </c>
      <c r="G169" s="4">
        <f t="shared" si="4"/>
        <v>-3.2367275644865225E-2</v>
      </c>
      <c r="H169" s="2">
        <f t="shared" si="4"/>
        <v>0.16765795121382773</v>
      </c>
      <c r="I169" s="2">
        <f t="shared" si="5"/>
        <v>-0.20002522685869295</v>
      </c>
    </row>
    <row r="170" spans="1:9" x14ac:dyDescent="0.25">
      <c r="A170" s="6">
        <v>42614</v>
      </c>
      <c r="B170" s="2">
        <v>2279640</v>
      </c>
      <c r="C170" s="2">
        <v>3380487.4</v>
      </c>
      <c r="D170" s="5">
        <v>1.1237999999999999</v>
      </c>
      <c r="E170" s="5">
        <f t="shared" si="6"/>
        <v>1.2446442622950822</v>
      </c>
      <c r="F170" s="5">
        <v>-12.379000000000007</v>
      </c>
      <c r="G170" s="4">
        <f t="shared" si="4"/>
        <v>-7.5411679151256114E-2</v>
      </c>
      <c r="H170" s="2">
        <f t="shared" si="4"/>
        <v>0.17418234159333712</v>
      </c>
      <c r="I170" s="2">
        <f t="shared" si="5"/>
        <v>-0.24959402074459325</v>
      </c>
    </row>
    <row r="171" spans="1:9" x14ac:dyDescent="0.25">
      <c r="A171" s="6">
        <v>42644</v>
      </c>
      <c r="B171" s="2">
        <v>2084625</v>
      </c>
      <c r="C171" s="2">
        <v>3480759.25</v>
      </c>
      <c r="D171" s="5">
        <v>1.0979000000000001</v>
      </c>
      <c r="E171" s="5">
        <f t="shared" si="6"/>
        <v>1.2407016393442625</v>
      </c>
      <c r="F171" s="5">
        <v>-13.966000000000012</v>
      </c>
      <c r="G171" s="4">
        <f t="shared" si="4"/>
        <v>-0.14329446711138435</v>
      </c>
      <c r="H171" s="2">
        <f t="shared" si="4"/>
        <v>0.17237181260208012</v>
      </c>
      <c r="I171" s="2">
        <f t="shared" si="5"/>
        <v>-0.3156662797134645</v>
      </c>
    </row>
    <row r="172" spans="1:9" x14ac:dyDescent="0.25">
      <c r="A172" s="6">
        <v>42675</v>
      </c>
      <c r="B172" s="2">
        <v>2135802</v>
      </c>
      <c r="C172" s="2">
        <v>3543076</v>
      </c>
      <c r="D172" s="5">
        <v>1.0585</v>
      </c>
      <c r="E172" s="5">
        <f t="shared" si="6"/>
        <v>1.2353393442622953</v>
      </c>
      <c r="F172" s="5">
        <v>-15.725000000000012</v>
      </c>
      <c r="G172" s="4">
        <f t="shared" si="4"/>
        <v>-0.10179581791679738</v>
      </c>
      <c r="H172" s="2">
        <f t="shared" si="4"/>
        <v>0.16431632675444091</v>
      </c>
      <c r="I172" s="2">
        <f t="shared" si="5"/>
        <v>-0.26611214467123828</v>
      </c>
    </row>
    <row r="173" spans="1:9" x14ac:dyDescent="0.25">
      <c r="A173" s="6">
        <v>42705</v>
      </c>
      <c r="B173" s="2">
        <v>2064460</v>
      </c>
      <c r="C173" s="2">
        <v>3635298.8</v>
      </c>
      <c r="D173" s="5">
        <v>1.0512999999999999</v>
      </c>
      <c r="E173" s="5">
        <f t="shared" si="6"/>
        <v>1.2305393442622952</v>
      </c>
      <c r="F173" s="5">
        <v>-17.759999999999998</v>
      </c>
      <c r="G173" s="4">
        <f t="shared" si="4"/>
        <v>-0.13192220829477122</v>
      </c>
      <c r="H173" s="2">
        <f t="shared" si="4"/>
        <v>0.17143370653131779</v>
      </c>
      <c r="I173" s="2">
        <f t="shared" si="5"/>
        <v>-0.30335591482608903</v>
      </c>
    </row>
    <row r="174" spans="1:9" x14ac:dyDescent="0.25">
      <c r="A174" s="6">
        <v>42736</v>
      </c>
      <c r="B174" s="2">
        <v>2044567</v>
      </c>
      <c r="C174" s="2">
        <v>3707582.5</v>
      </c>
      <c r="D174" s="5">
        <v>1.0794999999999999</v>
      </c>
      <c r="E174" s="5">
        <f t="shared" si="6"/>
        <v>1.2270147540983607</v>
      </c>
      <c r="F174" s="5">
        <v>-16.480833333333344</v>
      </c>
      <c r="G174" s="4">
        <f t="shared" si="4"/>
        <v>-0.11239309560400441</v>
      </c>
      <c r="H174" s="2">
        <f t="shared" si="4"/>
        <v>0.13940195067419753</v>
      </c>
      <c r="I174" s="2">
        <f t="shared" si="5"/>
        <v>-0.25179504627820193</v>
      </c>
    </row>
    <row r="175" spans="1:9" x14ac:dyDescent="0.25">
      <c r="A175" s="6">
        <v>42767</v>
      </c>
      <c r="B175" s="2">
        <v>2215445</v>
      </c>
      <c r="C175" s="2">
        <v>3779144</v>
      </c>
      <c r="D175" s="5">
        <v>1.0575000000000001</v>
      </c>
      <c r="E175" s="5">
        <f t="shared" si="6"/>
        <v>1.222911475409836</v>
      </c>
      <c r="F175" s="5">
        <v>-15.899499999999978</v>
      </c>
      <c r="G175" s="4">
        <f t="shared" si="4"/>
        <v>-5.7468413452988823E-2</v>
      </c>
      <c r="H175" s="2">
        <f t="shared" si="4"/>
        <v>0.14289922282638731</v>
      </c>
      <c r="I175" s="2">
        <f t="shared" si="5"/>
        <v>-0.20036763627937615</v>
      </c>
    </row>
    <row r="176" spans="1:9" x14ac:dyDescent="0.25">
      <c r="A176" s="6">
        <v>42795</v>
      </c>
      <c r="B176" s="2">
        <v>2317218</v>
      </c>
      <c r="C176" s="2">
        <v>3898975.2</v>
      </c>
      <c r="D176" s="5">
        <v>1.0649</v>
      </c>
      <c r="E176" s="5">
        <f t="shared" si="6"/>
        <v>1.2185262295081967</v>
      </c>
      <c r="F176" s="5">
        <v>-15.069999999999961</v>
      </c>
      <c r="G176" s="4">
        <f t="shared" si="4"/>
        <v>1.6484181712902037E-2</v>
      </c>
      <c r="H176" s="2">
        <f t="shared" si="4"/>
        <v>0.15337664030340722</v>
      </c>
      <c r="I176" s="2">
        <f t="shared" si="5"/>
        <v>-0.13689245859050519</v>
      </c>
    </row>
    <row r="177" spans="1:9" x14ac:dyDescent="0.25">
      <c r="A177" s="6">
        <v>42826</v>
      </c>
      <c r="B177" s="2">
        <v>2293662</v>
      </c>
      <c r="C177" s="2">
        <v>4133444.75</v>
      </c>
      <c r="D177" s="5">
        <v>1.0894999999999999</v>
      </c>
      <c r="E177" s="5">
        <f t="shared" si="6"/>
        <v>1.2145131147540982</v>
      </c>
      <c r="F177" s="5">
        <v>-14.432333333333315</v>
      </c>
      <c r="G177" s="4">
        <f t="shared" si="4"/>
        <v>0.10027558913473647</v>
      </c>
      <c r="H177" s="2">
        <f t="shared" si="4"/>
        <v>0.18751239402725139</v>
      </c>
      <c r="I177" s="2">
        <f t="shared" si="5"/>
        <v>-8.7236804892514924E-2</v>
      </c>
    </row>
    <row r="178" spans="1:9" x14ac:dyDescent="0.25">
      <c r="A178" s="6">
        <v>42856</v>
      </c>
      <c r="B178" s="2">
        <v>2218109</v>
      </c>
      <c r="C178" s="2">
        <v>4177198</v>
      </c>
      <c r="D178" s="5">
        <v>1.1241000000000001</v>
      </c>
      <c r="E178" s="5">
        <f t="shared" si="6"/>
        <v>1.2112360655737702</v>
      </c>
      <c r="F178" s="5">
        <v>-10.779666666666632</v>
      </c>
      <c r="G178" s="4">
        <f t="shared" si="4"/>
        <v>3.8536811932941346E-2</v>
      </c>
      <c r="H178" s="2">
        <f t="shared" si="4"/>
        <v>0.17897499235127895</v>
      </c>
      <c r="I178" s="2">
        <f t="shared" si="5"/>
        <v>-0.14043818041833761</v>
      </c>
    </row>
    <row r="179" spans="1:9" x14ac:dyDescent="0.25">
      <c r="A179" s="6">
        <v>42887</v>
      </c>
      <c r="B179" s="2">
        <v>2229897</v>
      </c>
      <c r="C179" s="2">
        <v>4222254.5999999996</v>
      </c>
      <c r="D179" s="5">
        <v>1.1423000000000001</v>
      </c>
      <c r="E179" s="5">
        <f t="shared" si="6"/>
        <v>1.2097065573770491</v>
      </c>
      <c r="F179" s="5">
        <v>-8.7316666666666709</v>
      </c>
      <c r="G179" s="4">
        <f t="shared" si="4"/>
        <v>8.0135725565038798E-2</v>
      </c>
      <c r="H179" s="2">
        <f t="shared" si="4"/>
        <v>0.16146012536851162</v>
      </c>
      <c r="I179" s="2">
        <f t="shared" si="5"/>
        <v>-8.1324399803472822E-2</v>
      </c>
    </row>
    <row r="180" spans="1:9" x14ac:dyDescent="0.25">
      <c r="A180" s="6">
        <v>42917</v>
      </c>
      <c r="B180" s="2">
        <v>2207942</v>
      </c>
      <c r="C180" s="2">
        <v>4232005</v>
      </c>
      <c r="D180" s="5">
        <v>1.1839999999999999</v>
      </c>
      <c r="E180" s="5">
        <f t="shared" si="6"/>
        <v>1.2083655737704919</v>
      </c>
      <c r="F180" s="5">
        <v>-5.6370000000000031</v>
      </c>
      <c r="G180" s="4">
        <f t="shared" si="4"/>
        <v>7.9906894711692017E-2</v>
      </c>
      <c r="H180" s="2">
        <f t="shared" si="4"/>
        <v>0.14144594220088158</v>
      </c>
      <c r="I180" s="2">
        <f t="shared" si="5"/>
        <v>-6.1539047489189563E-2</v>
      </c>
    </row>
    <row r="181" spans="1:9" x14ac:dyDescent="0.25">
      <c r="A181" s="6">
        <v>42948</v>
      </c>
      <c r="B181" s="2">
        <v>2332836</v>
      </c>
      <c r="C181" s="2">
        <v>4261758.5</v>
      </c>
      <c r="D181" s="5">
        <v>1.1908000000000001</v>
      </c>
      <c r="E181" s="5">
        <f t="shared" si="6"/>
        <v>1.2077180327868853</v>
      </c>
      <c r="F181" s="5">
        <v>-2.7081666666666449</v>
      </c>
      <c r="G181" s="4">
        <f t="shared" si="4"/>
        <v>5.2987548776882297E-2</v>
      </c>
      <c r="H181" s="2">
        <f t="shared" si="4"/>
        <v>0.12770471302496014</v>
      </c>
      <c r="I181" s="2">
        <f t="shared" si="5"/>
        <v>-7.4717164248077839E-2</v>
      </c>
    </row>
    <row r="182" spans="1:9" x14ac:dyDescent="0.25">
      <c r="A182" s="6">
        <v>42979</v>
      </c>
      <c r="B182" s="2">
        <v>2307643</v>
      </c>
      <c r="C182" s="2">
        <v>4307842.5999999996</v>
      </c>
      <c r="D182" s="5">
        <v>1.1812</v>
      </c>
      <c r="E182" s="5">
        <f t="shared" si="6"/>
        <v>1.206467213114754</v>
      </c>
      <c r="F182" s="5">
        <v>-1.5461666666666263</v>
      </c>
      <c r="G182" s="4">
        <f t="shared" si="4"/>
        <v>-4.1321101424207822E-3</v>
      </c>
      <c r="H182" s="2">
        <f t="shared" si="4"/>
        <v>0.10486535025921669</v>
      </c>
      <c r="I182" s="2">
        <f t="shared" si="5"/>
        <v>-0.10899746040163746</v>
      </c>
    </row>
    <row r="183" spans="1:9" x14ac:dyDescent="0.25">
      <c r="A183" s="6">
        <v>43009</v>
      </c>
      <c r="B183" s="2">
        <v>2234710</v>
      </c>
      <c r="C183" s="2">
        <v>4360984.25</v>
      </c>
      <c r="D183" s="5">
        <v>1.1644000000000001</v>
      </c>
      <c r="E183" s="5">
        <f t="shared" si="6"/>
        <v>1.2044770491803278</v>
      </c>
      <c r="F183" s="5">
        <v>-2.9229999999999423</v>
      </c>
      <c r="G183" s="4">
        <f t="shared" si="4"/>
        <v>-2.5702130479556273E-2</v>
      </c>
      <c r="H183" s="2">
        <f t="shared" si="4"/>
        <v>5.5048395167251241E-2</v>
      </c>
      <c r="I183" s="2">
        <f t="shared" si="5"/>
        <v>-8.0750525646807514E-2</v>
      </c>
    </row>
    <row r="184" spans="1:9" x14ac:dyDescent="0.25">
      <c r="A184" s="6">
        <v>43040</v>
      </c>
      <c r="B184" s="2">
        <v>2305240</v>
      </c>
      <c r="C184" s="2">
        <v>4400067.5</v>
      </c>
      <c r="D184" s="5">
        <v>1.1901999999999999</v>
      </c>
      <c r="E184" s="5">
        <f t="shared" si="6"/>
        <v>1.2027459016393445</v>
      </c>
      <c r="F184" s="5">
        <v>-2.8606666666666447</v>
      </c>
      <c r="G184" s="4">
        <f t="shared" si="4"/>
        <v>3.9281658385588808E-2</v>
      </c>
      <c r="H184" s="2">
        <f t="shared" si="4"/>
        <v>5.3353827134840145E-2</v>
      </c>
      <c r="I184" s="2">
        <f t="shared" si="5"/>
        <v>-1.4072168749251338E-2</v>
      </c>
    </row>
    <row r="185" spans="1:9" x14ac:dyDescent="0.25">
      <c r="A185" s="6">
        <v>43070</v>
      </c>
      <c r="B185" s="2">
        <v>2287060</v>
      </c>
      <c r="C185" s="2">
        <v>4465614.5999999996</v>
      </c>
      <c r="D185" s="5">
        <v>1.1996</v>
      </c>
      <c r="E185" s="5">
        <f t="shared" si="6"/>
        <v>1.201126229508197</v>
      </c>
      <c r="F185" s="5">
        <v>-1.7168333333332786</v>
      </c>
      <c r="G185" s="4">
        <f t="shared" si="4"/>
        <v>2.5634816316628079E-2</v>
      </c>
      <c r="H185" s="2">
        <f t="shared" si="4"/>
        <v>5.7637452748586032E-2</v>
      </c>
      <c r="I185" s="2">
        <f t="shared" si="5"/>
        <v>-3.2002636431957956E-2</v>
      </c>
    </row>
    <row r="186" spans="1:9" x14ac:dyDescent="0.25">
      <c r="A186" s="6">
        <v>43101</v>
      </c>
      <c r="B186" s="2">
        <v>2188660</v>
      </c>
      <c r="C186" s="2">
        <v>4478950.25</v>
      </c>
      <c r="D186" s="5">
        <v>1.242</v>
      </c>
      <c r="E186" s="5">
        <f t="shared" si="6"/>
        <v>1.1998573770491807</v>
      </c>
      <c r="F186" s="5">
        <v>2.077666666666711</v>
      </c>
      <c r="G186" s="4">
        <f t="shared" si="4"/>
        <v>-8.7330192550347796E-3</v>
      </c>
      <c r="H186" s="2">
        <f t="shared" si="4"/>
        <v>5.835183323271121E-2</v>
      </c>
      <c r="I186" s="2">
        <f t="shared" si="5"/>
        <v>-6.7084852487745983E-2</v>
      </c>
    </row>
    <row r="187" spans="1:9" x14ac:dyDescent="0.25">
      <c r="A187" s="6">
        <v>43132</v>
      </c>
      <c r="B187" s="2">
        <v>2238775</v>
      </c>
      <c r="C187" s="2">
        <v>4500286</v>
      </c>
      <c r="D187" s="5">
        <v>1.2193000000000001</v>
      </c>
      <c r="E187" s="5">
        <f t="shared" si="6"/>
        <v>1.197586885245902</v>
      </c>
      <c r="F187" s="5">
        <v>3.6755000000000537</v>
      </c>
      <c r="G187" s="4">
        <f t="shared" ref="G187:H250" si="7">(B187-B181)/B181</f>
        <v>-4.0320451159018465E-2</v>
      </c>
      <c r="H187" s="2">
        <f t="shared" si="7"/>
        <v>5.5969267146413856E-2</v>
      </c>
      <c r="I187" s="2">
        <f t="shared" ref="I187:I250" si="8">G187-H187</f>
        <v>-9.6289718305432315E-2</v>
      </c>
    </row>
    <row r="188" spans="1:9" x14ac:dyDescent="0.25">
      <c r="A188" s="6">
        <v>43160</v>
      </c>
      <c r="B188" s="2">
        <v>2173438</v>
      </c>
      <c r="C188" s="2">
        <v>4530147.2</v>
      </c>
      <c r="D188" s="5">
        <v>1.2321</v>
      </c>
      <c r="E188" s="5">
        <f t="shared" si="6"/>
        <v>1.1963819672131151</v>
      </c>
      <c r="F188" s="5">
        <v>3.7186666666667145</v>
      </c>
      <c r="G188" s="4">
        <f t="shared" si="7"/>
        <v>-5.8156742615733892E-2</v>
      </c>
      <c r="H188" s="2">
        <f t="shared" si="7"/>
        <v>5.1604624551509978E-2</v>
      </c>
      <c r="I188" s="2">
        <f t="shared" si="8"/>
        <v>-0.10976136716724387</v>
      </c>
    </row>
    <row r="189" spans="1:9" x14ac:dyDescent="0.25">
      <c r="A189" s="6">
        <v>43191</v>
      </c>
      <c r="B189" s="2">
        <v>2101998</v>
      </c>
      <c r="C189" s="2">
        <v>4544491.75</v>
      </c>
      <c r="D189" s="5">
        <v>1.2077</v>
      </c>
      <c r="E189" s="5">
        <f t="shared" si="6"/>
        <v>1.1951672131147546</v>
      </c>
      <c r="F189" s="5">
        <v>3.2045000000000323</v>
      </c>
      <c r="G189" s="4">
        <f t="shared" si="7"/>
        <v>-5.9386676571009211E-2</v>
      </c>
      <c r="H189" s="2">
        <f t="shared" si="7"/>
        <v>4.2079376920473859E-2</v>
      </c>
      <c r="I189" s="2">
        <f t="shared" si="8"/>
        <v>-0.10146605349148308</v>
      </c>
    </row>
    <row r="190" spans="1:9" x14ac:dyDescent="0.25">
      <c r="A190" s="6">
        <v>43221</v>
      </c>
      <c r="B190" s="2">
        <v>2019646</v>
      </c>
      <c r="C190" s="2">
        <v>4559713.25</v>
      </c>
      <c r="D190" s="5">
        <v>1.169</v>
      </c>
      <c r="E190" s="5">
        <f t="shared" si="6"/>
        <v>1.1927475409836068</v>
      </c>
      <c r="F190" s="5">
        <v>-1.0721666666666518</v>
      </c>
      <c r="G190" s="4">
        <f t="shared" si="7"/>
        <v>-0.12388905276674013</v>
      </c>
      <c r="H190" s="2">
        <f t="shared" si="7"/>
        <v>3.6282568392416704E-2</v>
      </c>
      <c r="I190" s="2">
        <f t="shared" si="8"/>
        <v>-0.16017162115915684</v>
      </c>
    </row>
    <row r="191" spans="1:9" x14ac:dyDescent="0.25">
      <c r="A191" s="6">
        <v>43252</v>
      </c>
      <c r="B191" s="2">
        <v>1999920</v>
      </c>
      <c r="C191" s="2">
        <v>4580302.4000000004</v>
      </c>
      <c r="D191" s="5">
        <v>1.1682999999999999</v>
      </c>
      <c r="E191" s="5">
        <f t="shared" si="6"/>
        <v>1.1905967213114756</v>
      </c>
      <c r="F191" s="5">
        <v>-2.2591666666666566</v>
      </c>
      <c r="G191" s="4">
        <f t="shared" si="7"/>
        <v>-0.12554983253609436</v>
      </c>
      <c r="H191" s="2">
        <f t="shared" si="7"/>
        <v>2.5682422303080241E-2</v>
      </c>
      <c r="I191" s="2">
        <f t="shared" si="8"/>
        <v>-0.1512322548391746</v>
      </c>
    </row>
    <row r="192" spans="1:9" x14ac:dyDescent="0.25">
      <c r="A192" s="6">
        <v>43282</v>
      </c>
      <c r="B192" s="2">
        <v>1947578</v>
      </c>
      <c r="C192" s="2">
        <v>4602025.5</v>
      </c>
      <c r="D192" s="5">
        <v>1.1691</v>
      </c>
      <c r="E192" s="5">
        <f t="shared" si="6"/>
        <v>1.188437704918033</v>
      </c>
      <c r="F192" s="5">
        <v>-1.9653333333332856</v>
      </c>
      <c r="G192" s="4">
        <f t="shared" si="7"/>
        <v>-0.1101505030475268</v>
      </c>
      <c r="H192" s="2">
        <f t="shared" si="7"/>
        <v>2.7478592779636254E-2</v>
      </c>
      <c r="I192" s="2">
        <f t="shared" si="8"/>
        <v>-0.13762909582716304</v>
      </c>
    </row>
    <row r="193" spans="1:9" x14ac:dyDescent="0.25">
      <c r="A193" s="6">
        <v>43313</v>
      </c>
      <c r="B193" s="2">
        <v>1915732</v>
      </c>
      <c r="C193" s="2">
        <v>4613038</v>
      </c>
      <c r="D193" s="5">
        <v>1.1598999999999999</v>
      </c>
      <c r="E193" s="5">
        <f t="shared" si="6"/>
        <v>1.1856491803278686</v>
      </c>
      <c r="F193" s="5">
        <v>-3.0508333333333137</v>
      </c>
      <c r="G193" s="4">
        <f t="shared" si="7"/>
        <v>-0.1442945360744157</v>
      </c>
      <c r="H193" s="2">
        <f t="shared" si="7"/>
        <v>2.5054407653202486E-2</v>
      </c>
      <c r="I193" s="2">
        <f t="shared" si="8"/>
        <v>-0.16934894372761819</v>
      </c>
    </row>
    <row r="194" spans="1:9" x14ac:dyDescent="0.25">
      <c r="A194" s="6">
        <v>43344</v>
      </c>
      <c r="B194" s="2">
        <v>1882096</v>
      </c>
      <c r="C194" s="2">
        <v>4634604.75</v>
      </c>
      <c r="D194" s="5">
        <v>1.1608000000000001</v>
      </c>
      <c r="E194" s="5">
        <f t="shared" si="6"/>
        <v>1.183006557377049</v>
      </c>
      <c r="F194" s="5">
        <v>-1.5679999999999916</v>
      </c>
      <c r="G194" s="4">
        <f t="shared" si="7"/>
        <v>-0.13404661186562489</v>
      </c>
      <c r="H194" s="2">
        <f t="shared" si="7"/>
        <v>2.3058312542250242E-2</v>
      </c>
      <c r="I194" s="2">
        <f t="shared" si="8"/>
        <v>-0.15710492440787513</v>
      </c>
    </row>
    <row r="195" spans="1:9" x14ac:dyDescent="0.25">
      <c r="A195" s="6">
        <v>43374</v>
      </c>
      <c r="B195" s="2">
        <v>1828007</v>
      </c>
      <c r="C195" s="2">
        <v>4627752</v>
      </c>
      <c r="D195" s="5">
        <v>1.131</v>
      </c>
      <c r="E195" s="5">
        <f t="shared" si="6"/>
        <v>1.1793770491803275</v>
      </c>
      <c r="F195" s="5">
        <v>-2.9983333333333029</v>
      </c>
      <c r="G195" s="4">
        <f t="shared" si="7"/>
        <v>-0.13034788805698197</v>
      </c>
      <c r="H195" s="2">
        <f t="shared" si="7"/>
        <v>1.8321135691356464E-2</v>
      </c>
      <c r="I195" s="2">
        <f t="shared" si="8"/>
        <v>-0.14866902374833843</v>
      </c>
    </row>
    <row r="196" spans="1:9" x14ac:dyDescent="0.25">
      <c r="A196" s="6">
        <v>43405</v>
      </c>
      <c r="B196" s="2">
        <v>1780976</v>
      </c>
      <c r="C196" s="2">
        <v>4638775.5999999996</v>
      </c>
      <c r="D196" s="5">
        <v>1.1315</v>
      </c>
      <c r="E196" s="5">
        <f t="shared" ref="E196:E259" si="9">AVERAGE(D136:D196)</f>
        <v>1.1756606557377047</v>
      </c>
      <c r="F196" s="5">
        <v>-3.8838333333332864</v>
      </c>
      <c r="G196" s="4">
        <f t="shared" si="7"/>
        <v>-0.11817417507820678</v>
      </c>
      <c r="H196" s="2">
        <f t="shared" si="7"/>
        <v>1.7339325011282151E-2</v>
      </c>
      <c r="I196" s="2">
        <f t="shared" si="8"/>
        <v>-0.13551350008948893</v>
      </c>
    </row>
    <row r="197" spans="1:9" x14ac:dyDescent="0.25">
      <c r="A197" s="6">
        <v>43435</v>
      </c>
      <c r="B197" s="2">
        <v>1708510</v>
      </c>
      <c r="C197" s="2">
        <v>4668755.75</v>
      </c>
      <c r="D197" s="5">
        <v>1.1469</v>
      </c>
      <c r="E197" s="5">
        <f t="shared" si="9"/>
        <v>1.1721852459016391</v>
      </c>
      <c r="F197" s="5">
        <v>-3.3358333333333379</v>
      </c>
      <c r="G197" s="4">
        <f t="shared" si="7"/>
        <v>-0.14571082843313732</v>
      </c>
      <c r="H197" s="2">
        <f t="shared" si="7"/>
        <v>1.9311683438193866E-2</v>
      </c>
      <c r="I197" s="2">
        <f t="shared" si="8"/>
        <v>-0.16502251187133118</v>
      </c>
    </row>
    <row r="198" spans="1:9" x14ac:dyDescent="0.25">
      <c r="A198" s="6">
        <v>43466</v>
      </c>
      <c r="B198" s="2">
        <v>1635159</v>
      </c>
      <c r="C198" s="2">
        <v>4703137.5</v>
      </c>
      <c r="D198" s="5">
        <v>1.1444000000000001</v>
      </c>
      <c r="E198" s="5">
        <f t="shared" si="9"/>
        <v>1.1684131147540981</v>
      </c>
      <c r="F198" s="5">
        <v>-2.5891666666666646</v>
      </c>
      <c r="G198" s="4">
        <f t="shared" si="7"/>
        <v>-0.16041411435126091</v>
      </c>
      <c r="H198" s="2">
        <f t="shared" si="7"/>
        <v>2.1971195074864319E-2</v>
      </c>
      <c r="I198" s="2">
        <f t="shared" si="8"/>
        <v>-0.18238530942612521</v>
      </c>
    </row>
    <row r="199" spans="1:9" x14ac:dyDescent="0.25">
      <c r="A199" s="6">
        <v>43497</v>
      </c>
      <c r="B199" s="2">
        <v>1642964</v>
      </c>
      <c r="C199" s="2">
        <v>4696705</v>
      </c>
      <c r="D199" s="5">
        <v>1.137</v>
      </c>
      <c r="E199" s="5">
        <f t="shared" si="9"/>
        <v>1.164945901639344</v>
      </c>
      <c r="F199" s="5">
        <v>-2.8931666666666356</v>
      </c>
      <c r="G199" s="4">
        <f t="shared" si="7"/>
        <v>-0.14238317259407893</v>
      </c>
      <c r="H199" s="2">
        <f t="shared" si="7"/>
        <v>1.8137071491715437E-2</v>
      </c>
      <c r="I199" s="2">
        <f t="shared" si="8"/>
        <v>-0.16052024408579435</v>
      </c>
    </row>
    <row r="200" spans="1:9" x14ac:dyDescent="0.25">
      <c r="A200" s="6">
        <v>43525</v>
      </c>
      <c r="B200" s="2">
        <v>1669394</v>
      </c>
      <c r="C200" s="2">
        <v>4686196.2</v>
      </c>
      <c r="D200" s="5">
        <v>1.1216999999999999</v>
      </c>
      <c r="E200" s="5">
        <f t="shared" si="9"/>
        <v>1.1607081967213115</v>
      </c>
      <c r="F200" s="5">
        <v>-3.001166666666677</v>
      </c>
      <c r="G200" s="4">
        <f t="shared" si="7"/>
        <v>-0.11301336382416199</v>
      </c>
      <c r="H200" s="2">
        <f t="shared" si="7"/>
        <v>1.1131790688299835E-2</v>
      </c>
      <c r="I200" s="2">
        <f t="shared" si="8"/>
        <v>-0.12414515451246183</v>
      </c>
    </row>
    <row r="201" spans="1:9" x14ac:dyDescent="0.25">
      <c r="A201" s="6">
        <v>43556</v>
      </c>
      <c r="B201" s="2">
        <v>1586225</v>
      </c>
      <c r="C201" s="2">
        <v>4701744.4176528603</v>
      </c>
      <c r="D201" s="5">
        <v>1.1214999999999999</v>
      </c>
      <c r="E201" s="5">
        <f t="shared" si="9"/>
        <v>1.1565196721311477</v>
      </c>
      <c r="F201" s="5">
        <v>-3.1918333333333493</v>
      </c>
      <c r="G201" s="4">
        <f t="shared" si="7"/>
        <v>-0.13226535784600388</v>
      </c>
      <c r="H201" s="2">
        <f t="shared" si="7"/>
        <v>1.5988846777627731E-2</v>
      </c>
      <c r="I201" s="2">
        <f t="shared" si="8"/>
        <v>-0.14825420462363162</v>
      </c>
    </row>
    <row r="202" spans="1:9" x14ac:dyDescent="0.25">
      <c r="A202" s="6">
        <v>43586</v>
      </c>
      <c r="B202" s="2">
        <v>1503826</v>
      </c>
      <c r="C202" s="2">
        <v>4686547.5999999996</v>
      </c>
      <c r="D202" s="5">
        <v>1.1167</v>
      </c>
      <c r="E202" s="5">
        <f t="shared" si="9"/>
        <v>1.1520950819672131</v>
      </c>
      <c r="F202" s="5">
        <v>-3.2364999999999755</v>
      </c>
      <c r="G202" s="4">
        <f t="shared" si="7"/>
        <v>-0.15561692016063103</v>
      </c>
      <c r="H202" s="2">
        <f t="shared" si="7"/>
        <v>1.0298407191759826E-2</v>
      </c>
      <c r="I202" s="2">
        <f t="shared" si="8"/>
        <v>-0.16591532735239084</v>
      </c>
    </row>
    <row r="203" spans="1:9" x14ac:dyDescent="0.25">
      <c r="A203" s="6">
        <v>43617</v>
      </c>
      <c r="B203" s="2">
        <v>1549186</v>
      </c>
      <c r="C203" s="2">
        <v>4686771.5</v>
      </c>
      <c r="D203" s="5">
        <v>1.1368</v>
      </c>
      <c r="E203" s="5">
        <f t="shared" si="9"/>
        <v>1.1483868852459016</v>
      </c>
      <c r="F203" s="5">
        <v>-1.7731666666666479</v>
      </c>
      <c r="G203" s="4">
        <f t="shared" si="7"/>
        <v>-9.3253185524228718E-2</v>
      </c>
      <c r="H203" s="2">
        <f t="shared" si="7"/>
        <v>3.858790428263462E-3</v>
      </c>
      <c r="I203" s="2">
        <f t="shared" si="8"/>
        <v>-9.7111975952492186E-2</v>
      </c>
    </row>
    <row r="204" spans="1:9" x14ac:dyDescent="0.25">
      <c r="A204" s="6">
        <v>43647</v>
      </c>
      <c r="B204" s="2">
        <v>1504962</v>
      </c>
      <c r="C204" s="2">
        <v>4683934.25</v>
      </c>
      <c r="D204" s="5">
        <v>1.1073999999999999</v>
      </c>
      <c r="E204" s="5">
        <f t="shared" si="9"/>
        <v>1.144096721311475</v>
      </c>
      <c r="F204" s="5">
        <v>-2.2261666666666624</v>
      </c>
      <c r="G204" s="4">
        <f t="shared" si="7"/>
        <v>-7.9623449462712798E-2</v>
      </c>
      <c r="H204" s="2">
        <f t="shared" si="7"/>
        <v>-4.0830722044592569E-3</v>
      </c>
      <c r="I204" s="2">
        <f t="shared" si="8"/>
        <v>-7.5540377258253535E-2</v>
      </c>
    </row>
    <row r="205" spans="1:9" x14ac:dyDescent="0.25">
      <c r="A205" s="6">
        <v>43678</v>
      </c>
      <c r="B205" s="2">
        <v>1526094</v>
      </c>
      <c r="C205" s="2">
        <v>4679544.5999999996</v>
      </c>
      <c r="D205" s="5">
        <v>1.0989</v>
      </c>
      <c r="E205" s="5">
        <f t="shared" si="9"/>
        <v>1.1401639344262291</v>
      </c>
      <c r="F205" s="5">
        <v>-2.6818333333332944</v>
      </c>
      <c r="G205" s="4">
        <f t="shared" si="7"/>
        <v>-7.1133634090582626E-2</v>
      </c>
      <c r="H205" s="2">
        <f t="shared" si="7"/>
        <v>-3.6537104203905445E-3</v>
      </c>
      <c r="I205" s="2">
        <f t="shared" si="8"/>
        <v>-6.747992367019208E-2</v>
      </c>
    </row>
    <row r="206" spans="1:9" x14ac:dyDescent="0.25">
      <c r="A206" s="6">
        <v>43709</v>
      </c>
      <c r="B206" s="2">
        <v>1434661</v>
      </c>
      <c r="C206" s="2">
        <v>4664330.5</v>
      </c>
      <c r="D206" s="5">
        <v>1.0898000000000001</v>
      </c>
      <c r="E206" s="5">
        <f t="shared" si="9"/>
        <v>1.1365016393442617</v>
      </c>
      <c r="F206" s="5">
        <v>-3.54883333333329</v>
      </c>
      <c r="G206" s="4">
        <f t="shared" si="7"/>
        <v>-0.1406097062766489</v>
      </c>
      <c r="H206" s="2">
        <f t="shared" si="7"/>
        <v>-4.6659804811416527E-3</v>
      </c>
      <c r="I206" s="2">
        <f t="shared" si="8"/>
        <v>-0.13594372579550726</v>
      </c>
    </row>
    <row r="207" spans="1:9" x14ac:dyDescent="0.25">
      <c r="A207" s="6">
        <v>43739</v>
      </c>
      <c r="B207" s="2">
        <v>1477754</v>
      </c>
      <c r="C207" s="2">
        <v>4688840.25</v>
      </c>
      <c r="D207" s="5">
        <v>1.115</v>
      </c>
      <c r="E207" s="5">
        <f t="shared" si="9"/>
        <v>1.1340737704918029</v>
      </c>
      <c r="F207" s="5">
        <v>-2.809000000000017</v>
      </c>
      <c r="G207" s="4">
        <f t="shared" si="7"/>
        <v>-6.8383110844930581E-2</v>
      </c>
      <c r="H207" s="2">
        <f t="shared" si="7"/>
        <v>-2.7445489389876544E-3</v>
      </c>
      <c r="I207" s="2">
        <f t="shared" si="8"/>
        <v>-6.563856190594293E-2</v>
      </c>
    </row>
    <row r="208" spans="1:9" x14ac:dyDescent="0.25">
      <c r="A208" s="6">
        <v>43770</v>
      </c>
      <c r="B208" s="2">
        <v>1525428</v>
      </c>
      <c r="C208" s="2">
        <v>4689426.8</v>
      </c>
      <c r="D208" s="5">
        <v>1.1014999999999999</v>
      </c>
      <c r="E208" s="5">
        <f t="shared" si="9"/>
        <v>1.1315999999999997</v>
      </c>
      <c r="F208" s="5">
        <v>-2.6419999999999888</v>
      </c>
      <c r="G208" s="4">
        <f t="shared" si="7"/>
        <v>1.4364693787712142E-2</v>
      </c>
      <c r="H208" s="2">
        <f t="shared" si="7"/>
        <v>6.1435415699185182E-4</v>
      </c>
      <c r="I208" s="2">
        <f t="shared" si="8"/>
        <v>1.3750339630720291E-2</v>
      </c>
    </row>
    <row r="209" spans="1:9" x14ac:dyDescent="0.25">
      <c r="A209" s="6">
        <v>43800</v>
      </c>
      <c r="B209" s="2">
        <v>1631024</v>
      </c>
      <c r="C209" s="2">
        <v>4699359.75</v>
      </c>
      <c r="D209" s="5">
        <v>1.121</v>
      </c>
      <c r="E209" s="5">
        <f t="shared" si="9"/>
        <v>1.1295672131147536</v>
      </c>
      <c r="F209" s="5">
        <v>-1.8094999999999972</v>
      </c>
      <c r="G209" s="4">
        <f t="shared" si="7"/>
        <v>5.2826452085159563E-2</v>
      </c>
      <c r="H209" s="2">
        <f t="shared" si="7"/>
        <v>2.6859107596775306E-3</v>
      </c>
      <c r="I209" s="2">
        <f t="shared" si="8"/>
        <v>5.0140541325482034E-2</v>
      </c>
    </row>
    <row r="210" spans="1:9" x14ac:dyDescent="0.25">
      <c r="A210" s="6">
        <v>43831</v>
      </c>
      <c r="B210" s="2">
        <v>1638953</v>
      </c>
      <c r="C210" s="2">
        <v>4665176.5999999996</v>
      </c>
      <c r="D210" s="5">
        <v>1.1093</v>
      </c>
      <c r="E210" s="5">
        <f t="shared" si="9"/>
        <v>1.1279213114754096</v>
      </c>
      <c r="F210" s="5">
        <v>-1.8833333333333258</v>
      </c>
      <c r="G210" s="4">
        <f t="shared" si="7"/>
        <v>8.9032812788628554E-2</v>
      </c>
      <c r="H210" s="2">
        <f t="shared" si="7"/>
        <v>-4.00467833210946E-3</v>
      </c>
      <c r="I210" s="2">
        <f t="shared" si="8"/>
        <v>9.3037491120738017E-2</v>
      </c>
    </row>
    <row r="211" spans="1:9" x14ac:dyDescent="0.25">
      <c r="A211" s="6">
        <v>43862</v>
      </c>
      <c r="B211" s="2">
        <v>1650292</v>
      </c>
      <c r="C211" s="2">
        <v>4682194.75</v>
      </c>
      <c r="D211" s="5">
        <v>1.1025</v>
      </c>
      <c r="E211" s="5">
        <f t="shared" si="9"/>
        <v>1.1274934426229506</v>
      </c>
      <c r="F211" s="5">
        <v>-3.6801666666666621</v>
      </c>
      <c r="G211" s="4">
        <f t="shared" si="7"/>
        <v>8.1382929229785322E-2</v>
      </c>
      <c r="H211" s="2">
        <f t="shared" si="7"/>
        <v>5.663264754438654E-4</v>
      </c>
      <c r="I211" s="2">
        <f t="shared" si="8"/>
        <v>8.0816602754341452E-2</v>
      </c>
    </row>
    <row r="212" spans="1:9" x14ac:dyDescent="0.25">
      <c r="A212" s="6">
        <v>43891</v>
      </c>
      <c r="B212" s="2">
        <v>1881485</v>
      </c>
      <c r="C212" s="2">
        <v>4849101.75</v>
      </c>
      <c r="D212" s="5">
        <v>1.1029</v>
      </c>
      <c r="E212" s="5">
        <f t="shared" si="9"/>
        <v>1.1272245901639344</v>
      </c>
      <c r="F212" s="5">
        <v>-2.3680000000000145</v>
      </c>
      <c r="G212" s="4">
        <f t="shared" si="7"/>
        <v>0.31144918555672735</v>
      </c>
      <c r="H212" s="2">
        <f t="shared" si="7"/>
        <v>3.9613670171957154E-2</v>
      </c>
      <c r="I212" s="2">
        <f t="shared" si="8"/>
        <v>0.27183551538477019</v>
      </c>
    </row>
    <row r="213" spans="1:9" x14ac:dyDescent="0.25">
      <c r="A213" s="6">
        <v>43922</v>
      </c>
      <c r="B213" s="2">
        <v>2895209</v>
      </c>
      <c r="C213" s="2">
        <v>5271820</v>
      </c>
      <c r="D213" s="5">
        <v>1.0954999999999999</v>
      </c>
      <c r="E213" s="5">
        <f t="shared" si="9"/>
        <v>1.127593442622951</v>
      </c>
      <c r="F213" s="5">
        <v>-4.1261666666666974</v>
      </c>
      <c r="G213" s="4">
        <f t="shared" si="7"/>
        <v>0.95919550886006733</v>
      </c>
      <c r="H213" s="2">
        <f t="shared" si="7"/>
        <v>0.12433346390933238</v>
      </c>
      <c r="I213" s="2">
        <f t="shared" si="8"/>
        <v>0.83486204495073491</v>
      </c>
    </row>
    <row r="214" spans="1:9" x14ac:dyDescent="0.25">
      <c r="A214" s="6">
        <v>43952</v>
      </c>
      <c r="B214" s="2">
        <v>3214329</v>
      </c>
      <c r="C214" s="2">
        <v>5500610.4000000004</v>
      </c>
      <c r="D214" s="5">
        <v>1.1097999999999999</v>
      </c>
      <c r="E214" s="5">
        <f t="shared" si="9"/>
        <v>1.1273901639344264</v>
      </c>
      <c r="F214" s="5">
        <v>-3.7228333333333641</v>
      </c>
      <c r="G214" s="4">
        <f t="shared" si="7"/>
        <v>1.1071653332704001</v>
      </c>
      <c r="H214" s="2">
        <f t="shared" si="7"/>
        <v>0.17298139721468744</v>
      </c>
      <c r="I214" s="2">
        <f t="shared" si="8"/>
        <v>0.9341839360557127</v>
      </c>
    </row>
    <row r="215" spans="1:9" x14ac:dyDescent="0.25">
      <c r="A215" s="6">
        <v>43983</v>
      </c>
      <c r="B215" s="2">
        <v>3104234</v>
      </c>
      <c r="C215" s="2">
        <v>5789552.5</v>
      </c>
      <c r="D215" s="5">
        <v>1.1231</v>
      </c>
      <c r="E215" s="5">
        <f t="shared" si="9"/>
        <v>1.1277901639344261</v>
      </c>
      <c r="F215" s="5">
        <v>-0.2083333333333659</v>
      </c>
      <c r="G215" s="4">
        <f t="shared" si="7"/>
        <v>0.90324238024701042</v>
      </c>
      <c r="H215" s="2">
        <f t="shared" si="7"/>
        <v>0.23198750638318336</v>
      </c>
      <c r="I215" s="2">
        <f t="shared" si="8"/>
        <v>0.6712548738638271</v>
      </c>
    </row>
    <row r="216" spans="1:9" x14ac:dyDescent="0.25">
      <c r="A216" s="6">
        <v>44013</v>
      </c>
      <c r="B216" s="2">
        <v>2744688</v>
      </c>
      <c r="C216" s="2">
        <v>6326595.7999999998</v>
      </c>
      <c r="D216" s="5">
        <v>1.1774</v>
      </c>
      <c r="E216" s="5">
        <f t="shared" si="9"/>
        <v>1.1288377049180329</v>
      </c>
      <c r="F216" s="5">
        <v>1.999833333333334</v>
      </c>
      <c r="G216" s="4">
        <f t="shared" si="7"/>
        <v>0.67465937095206507</v>
      </c>
      <c r="H216" s="2">
        <f t="shared" si="7"/>
        <v>0.35613211298367575</v>
      </c>
      <c r="I216" s="2">
        <f t="shared" si="8"/>
        <v>0.31852725796838932</v>
      </c>
    </row>
    <row r="217" spans="1:9" x14ac:dyDescent="0.25">
      <c r="A217" s="6">
        <v>44044</v>
      </c>
      <c r="B217" s="2">
        <v>2786432</v>
      </c>
      <c r="C217" s="2">
        <v>6413562</v>
      </c>
      <c r="D217" s="5">
        <v>1.1936</v>
      </c>
      <c r="E217" s="5">
        <f t="shared" si="9"/>
        <v>1.1303934426229509</v>
      </c>
      <c r="F217" s="5">
        <v>5.3140000000000187</v>
      </c>
      <c r="G217" s="4">
        <f t="shared" si="7"/>
        <v>0.68844786256008028</v>
      </c>
      <c r="H217" s="2">
        <f t="shared" si="7"/>
        <v>0.36977685518100245</v>
      </c>
      <c r="I217" s="2">
        <f t="shared" si="8"/>
        <v>0.31867100737907783</v>
      </c>
    </row>
    <row r="218" spans="1:9" x14ac:dyDescent="0.25">
      <c r="A218" s="6">
        <v>44075</v>
      </c>
      <c r="B218" s="2">
        <v>2852921</v>
      </c>
      <c r="C218" s="2">
        <v>6492676.5</v>
      </c>
      <c r="D218" s="5">
        <v>1.1718</v>
      </c>
      <c r="E218" s="5">
        <f t="shared" si="9"/>
        <v>1.1312245901639346</v>
      </c>
      <c r="F218" s="5">
        <v>4.7613333333333729</v>
      </c>
      <c r="G218" s="4">
        <f t="shared" si="7"/>
        <v>0.51631344390202416</v>
      </c>
      <c r="H218" s="2">
        <f t="shared" si="7"/>
        <v>0.33894416630873953</v>
      </c>
      <c r="I218" s="2">
        <f t="shared" si="8"/>
        <v>0.17736927759328464</v>
      </c>
    </row>
    <row r="219" spans="1:9" x14ac:dyDescent="0.25">
      <c r="A219" s="6">
        <v>44105</v>
      </c>
      <c r="B219" s="2">
        <v>2861013</v>
      </c>
      <c r="C219" s="2">
        <v>6746384.4000000004</v>
      </c>
      <c r="D219" s="5">
        <v>1.1647000000000001</v>
      </c>
      <c r="E219" s="5">
        <f t="shared" si="9"/>
        <v>1.1319967213114757</v>
      </c>
      <c r="F219" s="5">
        <v>4.5013333333333572</v>
      </c>
      <c r="G219" s="4">
        <f t="shared" si="7"/>
        <v>-1.1811237116215099E-2</v>
      </c>
      <c r="H219" s="2">
        <f t="shared" si="7"/>
        <v>0.27970689439320773</v>
      </c>
      <c r="I219" s="2">
        <f t="shared" si="8"/>
        <v>-0.29151813150942285</v>
      </c>
    </row>
    <row r="220" spans="1:9" x14ac:dyDescent="0.25">
      <c r="A220" s="6">
        <v>44136</v>
      </c>
      <c r="B220" s="2">
        <v>3017591</v>
      </c>
      <c r="C220" s="2">
        <v>6845401</v>
      </c>
      <c r="D220" s="5">
        <v>1.1928000000000001</v>
      </c>
      <c r="E220" s="5">
        <f t="shared" si="9"/>
        <v>1.1335098360655742</v>
      </c>
      <c r="F220" s="5">
        <v>4.8981666666666923</v>
      </c>
      <c r="G220" s="4">
        <f t="shared" si="7"/>
        <v>-6.1206553529523582E-2</v>
      </c>
      <c r="H220" s="2">
        <f t="shared" si="7"/>
        <v>0.2444802489556431</v>
      </c>
      <c r="I220" s="2">
        <f t="shared" si="8"/>
        <v>-0.30568680248516666</v>
      </c>
    </row>
    <row r="221" spans="1:9" x14ac:dyDescent="0.25">
      <c r="A221" s="6">
        <v>44166</v>
      </c>
      <c r="B221" s="2">
        <v>3133645</v>
      </c>
      <c r="C221" s="2">
        <v>6974077.25</v>
      </c>
      <c r="D221" s="5">
        <v>1.2213000000000001</v>
      </c>
      <c r="E221" s="5">
        <f t="shared" si="9"/>
        <v>1.1362147540983607</v>
      </c>
      <c r="F221" s="5">
        <v>8.1050000000000075</v>
      </c>
      <c r="G221" s="4">
        <f t="shared" si="7"/>
        <v>9.474479050226239E-3</v>
      </c>
      <c r="H221" s="2">
        <f t="shared" si="7"/>
        <v>0.2045969442370546</v>
      </c>
      <c r="I221" s="2">
        <f t="shared" si="8"/>
        <v>-0.19512246518682835</v>
      </c>
    </row>
    <row r="222" spans="1:9" x14ac:dyDescent="0.25">
      <c r="A222" s="6">
        <v>44197</v>
      </c>
      <c r="B222" s="2">
        <v>3142458</v>
      </c>
      <c r="C222" s="2">
        <v>7007435.5999999996</v>
      </c>
      <c r="D222" s="5">
        <v>1.2136</v>
      </c>
      <c r="E222" s="5">
        <f t="shared" si="9"/>
        <v>1.1383065573770492</v>
      </c>
      <c r="F222" s="5">
        <v>7.9844999999999944</v>
      </c>
      <c r="G222" s="4">
        <f t="shared" si="7"/>
        <v>0.14492357601301131</v>
      </c>
      <c r="H222" s="2">
        <f t="shared" si="7"/>
        <v>0.10761550469211259</v>
      </c>
      <c r="I222" s="2">
        <f t="shared" si="8"/>
        <v>3.7308071320898722E-2</v>
      </c>
    </row>
    <row r="223" spans="1:9" x14ac:dyDescent="0.25">
      <c r="A223" s="6">
        <v>44228</v>
      </c>
      <c r="B223" s="2">
        <v>3299991</v>
      </c>
      <c r="C223" s="2">
        <v>7086313.25</v>
      </c>
      <c r="D223" s="5">
        <v>1.2074</v>
      </c>
      <c r="E223" s="5">
        <f t="shared" si="9"/>
        <v>1.1403393442622953</v>
      </c>
      <c r="F223" s="5">
        <v>6.9775000000000142</v>
      </c>
      <c r="G223" s="4">
        <f t="shared" si="7"/>
        <v>0.18430702776884561</v>
      </c>
      <c r="H223" s="2">
        <f t="shared" si="7"/>
        <v>0.10489510353217135</v>
      </c>
      <c r="I223" s="2">
        <f t="shared" si="8"/>
        <v>7.9411924236674258E-2</v>
      </c>
    </row>
    <row r="224" spans="1:9" x14ac:dyDescent="0.25">
      <c r="A224" s="6">
        <v>44256</v>
      </c>
      <c r="B224" s="2">
        <v>3695739</v>
      </c>
      <c r="C224" s="2">
        <v>7231267.25</v>
      </c>
      <c r="D224" s="5">
        <v>1.1728000000000001</v>
      </c>
      <c r="E224" s="5">
        <f t="shared" si="9"/>
        <v>1.141744262295082</v>
      </c>
      <c r="F224" s="5">
        <v>4.9294999999999867</v>
      </c>
      <c r="G224" s="4">
        <f t="shared" si="7"/>
        <v>0.29542283154703547</v>
      </c>
      <c r="H224" s="2">
        <f t="shared" si="7"/>
        <v>0.11375751587192123</v>
      </c>
      <c r="I224" s="2">
        <f t="shared" si="8"/>
        <v>0.18166531567511424</v>
      </c>
    </row>
    <row r="225" spans="1:9" x14ac:dyDescent="0.25">
      <c r="A225" s="6">
        <v>44287</v>
      </c>
      <c r="B225" s="2">
        <v>3891372</v>
      </c>
      <c r="C225" s="2">
        <v>7531360.4000000004</v>
      </c>
      <c r="D225" s="5">
        <v>1.2018</v>
      </c>
      <c r="E225" s="5">
        <f t="shared" si="9"/>
        <v>1.1427934426229509</v>
      </c>
      <c r="F225" s="5">
        <v>5.4563333333333297</v>
      </c>
      <c r="G225" s="4">
        <f t="shared" si="7"/>
        <v>0.36013782530872807</v>
      </c>
      <c r="H225" s="2">
        <f t="shared" si="7"/>
        <v>0.11635506568525801</v>
      </c>
      <c r="I225" s="2">
        <f t="shared" si="8"/>
        <v>0.24378275962347007</v>
      </c>
    </row>
    <row r="226" spans="1:9" x14ac:dyDescent="0.25">
      <c r="A226" s="6">
        <v>44317</v>
      </c>
      <c r="B226" s="2">
        <v>3886570</v>
      </c>
      <c r="C226" s="2">
        <v>7626315.25</v>
      </c>
      <c r="D226" s="5">
        <v>1.2224999999999999</v>
      </c>
      <c r="E226" s="5">
        <f t="shared" si="9"/>
        <v>1.1440573770491804</v>
      </c>
      <c r="F226" s="5">
        <v>7.1273333333333078</v>
      </c>
      <c r="G226" s="4">
        <f t="shared" si="7"/>
        <v>0.28797110012589511</v>
      </c>
      <c r="H226" s="2">
        <f t="shared" si="7"/>
        <v>0.11407867121297934</v>
      </c>
      <c r="I226" s="2">
        <f t="shared" si="8"/>
        <v>0.17389242891291579</v>
      </c>
    </row>
    <row r="227" spans="1:9" x14ac:dyDescent="0.25">
      <c r="A227" s="6">
        <v>44348</v>
      </c>
      <c r="B227" s="2">
        <v>3843474</v>
      </c>
      <c r="C227" s="2">
        <v>7748684.25</v>
      </c>
      <c r="D227" s="5">
        <v>1.1855</v>
      </c>
      <c r="E227" s="5">
        <f t="shared" si="9"/>
        <v>1.1452475409836067</v>
      </c>
      <c r="F227" s="5">
        <v>6.0113333333333019</v>
      </c>
      <c r="G227" s="4">
        <f t="shared" si="7"/>
        <v>0.22651863883751988</v>
      </c>
      <c r="H227" s="2">
        <f t="shared" si="7"/>
        <v>0.11106946083799114</v>
      </c>
      <c r="I227" s="2">
        <f t="shared" si="8"/>
        <v>0.11544917799952874</v>
      </c>
    </row>
    <row r="228" spans="1:9" x14ac:dyDescent="0.25">
      <c r="A228" s="6">
        <v>44378</v>
      </c>
      <c r="B228" s="2">
        <v>3932734</v>
      </c>
      <c r="C228" s="2">
        <v>7952084.5999999996</v>
      </c>
      <c r="D228" s="5">
        <v>1.1870000000000001</v>
      </c>
      <c r="E228" s="5">
        <f t="shared" si="9"/>
        <v>1.1465032786885243</v>
      </c>
      <c r="F228" s="5">
        <v>3.6136666666666484</v>
      </c>
      <c r="G228" s="4">
        <f t="shared" si="7"/>
        <v>0.25148339293635746</v>
      </c>
      <c r="H228" s="2">
        <f t="shared" si="7"/>
        <v>0.13480666165522806</v>
      </c>
      <c r="I228" s="2">
        <f t="shared" si="8"/>
        <v>0.1166767312811294</v>
      </c>
    </row>
    <row r="229" spans="1:9" x14ac:dyDescent="0.25">
      <c r="A229" s="6">
        <v>44409</v>
      </c>
      <c r="B229" s="2">
        <v>4112636</v>
      </c>
      <c r="C229" s="2">
        <v>8072444.3847500002</v>
      </c>
      <c r="D229" s="5">
        <v>1.1807000000000001</v>
      </c>
      <c r="E229" s="5">
        <f t="shared" si="9"/>
        <v>1.1475475409836065</v>
      </c>
      <c r="F229" s="5">
        <v>2.9803333333333404</v>
      </c>
      <c r="G229" s="4">
        <f t="shared" si="7"/>
        <v>0.24625673221533029</v>
      </c>
      <c r="H229" s="2">
        <f t="shared" si="7"/>
        <v>0.13915996936065453</v>
      </c>
      <c r="I229" s="2">
        <f t="shared" si="8"/>
        <v>0.10709676285467576</v>
      </c>
    </row>
    <row r="230" spans="1:9" x14ac:dyDescent="0.25">
      <c r="A230" s="6">
        <v>44440</v>
      </c>
      <c r="B230" s="2">
        <v>4199553</v>
      </c>
      <c r="C230" s="2">
        <v>8237011.5</v>
      </c>
      <c r="D230" s="5">
        <v>1.1580999999999999</v>
      </c>
      <c r="E230" s="5">
        <f t="shared" si="9"/>
        <v>1.1482442622950817</v>
      </c>
      <c r="F230" s="5">
        <v>2.869166666666656</v>
      </c>
      <c r="G230" s="4">
        <f t="shared" si="7"/>
        <v>0.13632293838931808</v>
      </c>
      <c r="H230" s="2">
        <f t="shared" si="7"/>
        <v>0.13908271057192639</v>
      </c>
      <c r="I230" s="2">
        <f t="shared" si="8"/>
        <v>-2.759772182608311E-3</v>
      </c>
    </row>
    <row r="231" spans="1:9" x14ac:dyDescent="0.25">
      <c r="A231" s="6">
        <v>44470</v>
      </c>
      <c r="B231" s="2">
        <v>4134109</v>
      </c>
      <c r="C231" s="2">
        <v>8334899</v>
      </c>
      <c r="D231" s="5">
        <v>1.1560999999999999</v>
      </c>
      <c r="E231" s="5">
        <f t="shared" si="9"/>
        <v>1.1487737704918033</v>
      </c>
      <c r="F231" s="5">
        <v>1.1214999999999753</v>
      </c>
      <c r="G231" s="4">
        <f t="shared" si="7"/>
        <v>6.2378256306516056E-2</v>
      </c>
      <c r="H231" s="2">
        <f t="shared" si="7"/>
        <v>0.10669235799683674</v>
      </c>
      <c r="I231" s="2">
        <f t="shared" si="8"/>
        <v>-4.4314101690320684E-2</v>
      </c>
    </row>
    <row r="232" spans="1:9" x14ac:dyDescent="0.25">
      <c r="A232" s="6">
        <v>44501</v>
      </c>
      <c r="B232" s="2">
        <v>4156997</v>
      </c>
      <c r="C232" s="2">
        <v>8424091.75</v>
      </c>
      <c r="D232" s="5">
        <v>1.1335999999999999</v>
      </c>
      <c r="E232" s="5">
        <f t="shared" si="9"/>
        <v>1.1493590163934424</v>
      </c>
      <c r="F232" s="5">
        <v>-0.82249999999999268</v>
      </c>
      <c r="G232" s="4">
        <f t="shared" si="7"/>
        <v>6.9579860905631438E-2</v>
      </c>
      <c r="H232" s="2">
        <f t="shared" si="7"/>
        <v>0.10460838214103463</v>
      </c>
      <c r="I232" s="2">
        <f t="shared" si="8"/>
        <v>-3.502852123540319E-2</v>
      </c>
    </row>
    <row r="233" spans="1:9" x14ac:dyDescent="0.25">
      <c r="A233" s="6">
        <v>44531</v>
      </c>
      <c r="B233" s="2">
        <v>4210661</v>
      </c>
      <c r="C233" s="2">
        <v>8511336.4000000004</v>
      </c>
      <c r="D233" s="5">
        <v>1.1368</v>
      </c>
      <c r="E233" s="5">
        <f t="shared" si="9"/>
        <v>1.1506426229508195</v>
      </c>
      <c r="F233" s="5">
        <v>-2.0984999999999587</v>
      </c>
      <c r="G233" s="4">
        <f t="shared" si="7"/>
        <v>9.5535185095567188E-2</v>
      </c>
      <c r="H233" s="2">
        <f t="shared" si="7"/>
        <v>9.8423438792205317E-2</v>
      </c>
      <c r="I233" s="2">
        <f t="shared" si="8"/>
        <v>-2.8882536966381295E-3</v>
      </c>
    </row>
    <row r="234" spans="1:9" x14ac:dyDescent="0.25">
      <c r="A234" s="6">
        <v>44562</v>
      </c>
      <c r="B234" s="2">
        <v>3890495</v>
      </c>
      <c r="C234" s="2">
        <v>8597548.25</v>
      </c>
      <c r="D234" s="5">
        <v>1.1233</v>
      </c>
      <c r="E234" s="5">
        <f t="shared" si="9"/>
        <v>1.1518229508196718</v>
      </c>
      <c r="F234" s="5">
        <v>-2.0521666666666327</v>
      </c>
      <c r="G234" s="4">
        <f t="shared" si="7"/>
        <v>-1.0740365353975123E-2</v>
      </c>
      <c r="H234" s="2">
        <f t="shared" si="7"/>
        <v>8.1169112562006748E-2</v>
      </c>
      <c r="I234" s="2">
        <f t="shared" si="8"/>
        <v>-9.1909477915981877E-2</v>
      </c>
    </row>
    <row r="235" spans="1:9" x14ac:dyDescent="0.25">
      <c r="A235" s="6">
        <v>44593</v>
      </c>
      <c r="B235" s="2">
        <v>3782867</v>
      </c>
      <c r="C235" s="2">
        <v>8655276.5</v>
      </c>
      <c r="D235" s="5">
        <v>1.1218999999999999</v>
      </c>
      <c r="E235" s="5">
        <f t="shared" si="9"/>
        <v>1.1525180327868849</v>
      </c>
      <c r="F235" s="5">
        <v>-1.8486666666666318</v>
      </c>
      <c r="G235" s="4">
        <f t="shared" si="7"/>
        <v>-8.0184339192673509E-2</v>
      </c>
      <c r="H235" s="2">
        <f t="shared" si="7"/>
        <v>7.2200202004618685E-2</v>
      </c>
      <c r="I235" s="2">
        <f t="shared" si="8"/>
        <v>-0.15238454119729219</v>
      </c>
    </row>
    <row r="236" spans="1:9" x14ac:dyDescent="0.25">
      <c r="A236" s="6">
        <v>44621</v>
      </c>
      <c r="B236" s="2">
        <v>3879374</v>
      </c>
      <c r="C236" s="2">
        <v>8692654.5</v>
      </c>
      <c r="D236" s="5">
        <v>1.1065</v>
      </c>
      <c r="E236" s="5">
        <f t="shared" si="9"/>
        <v>1.1533213114754093</v>
      </c>
      <c r="F236" s="5">
        <v>-5.2033333333333154</v>
      </c>
      <c r="G236" s="4">
        <f t="shared" si="7"/>
        <v>-7.62412094811043E-2</v>
      </c>
      <c r="H236" s="2">
        <f t="shared" si="7"/>
        <v>5.5316542899084213E-2</v>
      </c>
      <c r="I236" s="2">
        <f t="shared" si="8"/>
        <v>-0.13155775238018852</v>
      </c>
    </row>
    <row r="237" spans="1:9" x14ac:dyDescent="0.25">
      <c r="A237" s="6">
        <v>44652</v>
      </c>
      <c r="B237" s="2">
        <v>3660478</v>
      </c>
      <c r="C237" s="2">
        <v>8776024.8000000007</v>
      </c>
      <c r="D237" s="5">
        <v>1.0541</v>
      </c>
      <c r="E237" s="5">
        <f t="shared" si="9"/>
        <v>1.1531442622950816</v>
      </c>
      <c r="F237" s="5">
        <v>-7.378166666666619</v>
      </c>
      <c r="G237" s="4">
        <f t="shared" si="7"/>
        <v>-0.11456664543677973</v>
      </c>
      <c r="H237" s="2">
        <f t="shared" si="7"/>
        <v>5.2925152422362974E-2</v>
      </c>
      <c r="I237" s="2">
        <f t="shared" si="8"/>
        <v>-0.1674917978591427</v>
      </c>
    </row>
    <row r="238" spans="1:9" x14ac:dyDescent="0.25">
      <c r="A238" s="6">
        <v>44682</v>
      </c>
      <c r="B238" s="2">
        <v>3311799</v>
      </c>
      <c r="C238" s="2">
        <v>8808570</v>
      </c>
      <c r="D238" s="5">
        <v>1.0732999999999999</v>
      </c>
      <c r="E238" s="5">
        <f t="shared" si="9"/>
        <v>1.1528786885245901</v>
      </c>
      <c r="F238" s="5">
        <v>-9.657666666666632</v>
      </c>
      <c r="G238" s="4">
        <f t="shared" si="7"/>
        <v>-0.20331936732213182</v>
      </c>
      <c r="H238" s="2">
        <f t="shared" si="7"/>
        <v>4.5640320809658796E-2</v>
      </c>
      <c r="I238" s="2">
        <f t="shared" si="8"/>
        <v>-0.24895968813179062</v>
      </c>
    </row>
    <row r="239" spans="1:9" x14ac:dyDescent="0.25">
      <c r="A239" s="6">
        <v>44713</v>
      </c>
      <c r="B239" s="2">
        <v>3244606</v>
      </c>
      <c r="C239" s="2">
        <v>8825698.25</v>
      </c>
      <c r="D239" s="5">
        <v>1.0482</v>
      </c>
      <c r="E239" s="5">
        <f t="shared" si="9"/>
        <v>1.151634426229508</v>
      </c>
      <c r="F239" s="5">
        <v>-9.5466666666666367</v>
      </c>
      <c r="G239" s="4">
        <f t="shared" si="7"/>
        <v>-0.22943072358472932</v>
      </c>
      <c r="H239" s="2">
        <f t="shared" si="7"/>
        <v>3.6934487749773301E-2</v>
      </c>
      <c r="I239" s="2">
        <f t="shared" si="8"/>
        <v>-0.26636521133450264</v>
      </c>
    </row>
    <row r="240" spans="1:9" x14ac:dyDescent="0.25">
      <c r="A240" s="6">
        <v>44743</v>
      </c>
      <c r="B240" s="2">
        <v>3251316</v>
      </c>
      <c r="C240" s="2">
        <v>8772325.4000000004</v>
      </c>
      <c r="D240" s="5">
        <v>1.0218</v>
      </c>
      <c r="E240" s="5">
        <f t="shared" si="9"/>
        <v>1.1496590163934426</v>
      </c>
      <c r="F240" s="5">
        <v>-13.309666666666642</v>
      </c>
      <c r="G240" s="4">
        <f t="shared" si="7"/>
        <v>-0.16429246149911514</v>
      </c>
      <c r="H240" s="2">
        <f t="shared" si="7"/>
        <v>2.0328719876623009E-2</v>
      </c>
      <c r="I240" s="2">
        <f t="shared" si="8"/>
        <v>-0.18462118137573816</v>
      </c>
    </row>
    <row r="241" spans="1:9" x14ac:dyDescent="0.25">
      <c r="A241" s="6">
        <v>44774</v>
      </c>
      <c r="B241" s="2">
        <v>3301985</v>
      </c>
      <c r="C241" s="2">
        <v>8748623.5</v>
      </c>
      <c r="D241" s="5">
        <v>1.0057</v>
      </c>
      <c r="E241" s="5">
        <f t="shared" si="9"/>
        <v>1.1467360655737704</v>
      </c>
      <c r="F241" s="5">
        <v>-13.418999999999981</v>
      </c>
      <c r="G241" s="4">
        <f t="shared" si="7"/>
        <v>-0.12712104337794589</v>
      </c>
      <c r="H241" s="2">
        <f t="shared" si="7"/>
        <v>1.0784981854710246E-2</v>
      </c>
      <c r="I241" s="2">
        <f t="shared" si="8"/>
        <v>-0.13790602523265613</v>
      </c>
    </row>
    <row r="242" spans="1:9" x14ac:dyDescent="0.25">
      <c r="A242" s="6">
        <v>44805</v>
      </c>
      <c r="B242" s="2">
        <v>3146264</v>
      </c>
      <c r="C242" s="2">
        <v>8772061.1999999993</v>
      </c>
      <c r="D242" s="5">
        <v>0.97989999999999999</v>
      </c>
      <c r="E242" s="5">
        <f t="shared" si="9"/>
        <v>1.14327868852459</v>
      </c>
      <c r="F242" s="5">
        <v>-15.383333333333326</v>
      </c>
      <c r="G242" s="4">
        <f t="shared" si="7"/>
        <v>-0.18897636577447804</v>
      </c>
      <c r="H242" s="2">
        <f t="shared" si="7"/>
        <v>9.1349196036721869E-3</v>
      </c>
      <c r="I242" s="2">
        <f t="shared" si="8"/>
        <v>-0.19811128537815023</v>
      </c>
    </row>
    <row r="243" spans="1:9" x14ac:dyDescent="0.25">
      <c r="A243" s="6">
        <v>44835</v>
      </c>
      <c r="B243" s="2">
        <v>3048917</v>
      </c>
      <c r="C243" s="2">
        <v>8773869.25</v>
      </c>
      <c r="D243" s="5">
        <v>0.98829999999999996</v>
      </c>
      <c r="E243" s="5">
        <f t="shared" si="9"/>
        <v>1.1401163934426224</v>
      </c>
      <c r="F243" s="5">
        <v>-15.526333333333319</v>
      </c>
      <c r="G243" s="4">
        <f t="shared" si="7"/>
        <v>-0.16707134969804491</v>
      </c>
      <c r="H243" s="2">
        <f t="shared" si="7"/>
        <v>-2.4561803881875368E-4</v>
      </c>
      <c r="I243" s="2">
        <f t="shared" si="8"/>
        <v>-0.16682573165922615</v>
      </c>
    </row>
    <row r="244" spans="1:9" x14ac:dyDescent="0.25">
      <c r="A244" s="6">
        <v>44866</v>
      </c>
      <c r="B244" s="2">
        <v>3117723</v>
      </c>
      <c r="C244" s="2">
        <v>8691705.25</v>
      </c>
      <c r="D244" s="5">
        <v>1.0405</v>
      </c>
      <c r="E244" s="5">
        <f t="shared" si="9"/>
        <v>1.1380852459016393</v>
      </c>
      <c r="F244" s="5">
        <v>-11.877833333333299</v>
      </c>
      <c r="G244" s="4">
        <f t="shared" si="7"/>
        <v>-5.8601382511438649E-2</v>
      </c>
      <c r="H244" s="2">
        <f t="shared" si="7"/>
        <v>-1.3267164817898932E-2</v>
      </c>
      <c r="I244" s="2">
        <f t="shared" si="8"/>
        <v>-4.5334217693539715E-2</v>
      </c>
    </row>
    <row r="245" spans="1:9" x14ac:dyDescent="0.25">
      <c r="A245" s="6">
        <v>44896</v>
      </c>
      <c r="B245" s="2">
        <v>3123548</v>
      </c>
      <c r="C245" s="2">
        <v>8273933.7999999998</v>
      </c>
      <c r="D245" s="5">
        <v>1.0702</v>
      </c>
      <c r="E245" s="5">
        <f t="shared" si="9"/>
        <v>1.1361180327868852</v>
      </c>
      <c r="F245" s="5">
        <v>-7.6803333333333113</v>
      </c>
      <c r="G245" s="4">
        <f t="shared" si="7"/>
        <v>-3.7310539399853175E-2</v>
      </c>
      <c r="H245" s="2">
        <f t="shared" si="7"/>
        <v>-6.2517937320143505E-2</v>
      </c>
      <c r="I245" s="2">
        <f t="shared" si="8"/>
        <v>2.5207397920290329E-2</v>
      </c>
    </row>
    <row r="246" spans="1:9" x14ac:dyDescent="0.25">
      <c r="A246" s="6">
        <v>44927</v>
      </c>
      <c r="B246" s="2">
        <v>3022651</v>
      </c>
      <c r="C246" s="2">
        <v>7948314.5</v>
      </c>
      <c r="D246" s="5">
        <v>1.0862000000000001</v>
      </c>
      <c r="E246" s="5">
        <f t="shared" si="9"/>
        <v>1.1342590163934425</v>
      </c>
      <c r="F246" s="5">
        <v>-5.5836666666666313</v>
      </c>
      <c r="G246" s="4">
        <f t="shared" si="7"/>
        <v>-7.0329983305221638E-2</v>
      </c>
      <c r="H246" s="2">
        <f t="shared" si="7"/>
        <v>-9.3933006634706037E-2</v>
      </c>
      <c r="I246" s="2">
        <f t="shared" si="8"/>
        <v>2.3603023329484399E-2</v>
      </c>
    </row>
    <row r="247" spans="1:9" x14ac:dyDescent="0.25">
      <c r="A247" s="6">
        <v>44958</v>
      </c>
      <c r="B247" s="2">
        <v>3027676</v>
      </c>
      <c r="C247" s="2">
        <v>7865135</v>
      </c>
      <c r="D247" s="5">
        <v>1.0576000000000001</v>
      </c>
      <c r="E247" s="5">
        <f t="shared" si="9"/>
        <v>1.1312360655737701</v>
      </c>
      <c r="F247" s="5">
        <v>-6.0606666666666698</v>
      </c>
      <c r="G247" s="4">
        <f t="shared" si="7"/>
        <v>-8.3073969142803489E-2</v>
      </c>
      <c r="H247" s="2">
        <f t="shared" si="7"/>
        <v>-0.10098600082630142</v>
      </c>
      <c r="I247" s="2">
        <f t="shared" si="8"/>
        <v>1.7912031683497934E-2</v>
      </c>
    </row>
    <row r="248" spans="1:9" x14ac:dyDescent="0.25">
      <c r="A248" s="6">
        <v>44986</v>
      </c>
      <c r="B248" s="2">
        <v>3222434</v>
      </c>
      <c r="C248" s="2">
        <v>7811511.2000000002</v>
      </c>
      <c r="D248" s="5">
        <v>1.0839000000000001</v>
      </c>
      <c r="E248" s="5">
        <f t="shared" si="9"/>
        <v>1.1290163934426227</v>
      </c>
      <c r="F248" s="5">
        <v>-5.7001666666666395</v>
      </c>
      <c r="G248" s="4">
        <f t="shared" si="7"/>
        <v>2.4209665813167618E-2</v>
      </c>
      <c r="H248" s="2">
        <f t="shared" si="7"/>
        <v>-0.10950106002452413</v>
      </c>
      <c r="I248" s="2">
        <f t="shared" si="8"/>
        <v>0.13371072583769175</v>
      </c>
    </row>
    <row r="249" spans="1:9" x14ac:dyDescent="0.25">
      <c r="A249" s="6">
        <v>45017</v>
      </c>
      <c r="B249" s="2">
        <v>3286214</v>
      </c>
      <c r="C249" s="2">
        <v>7723553.25</v>
      </c>
      <c r="D249" s="5">
        <v>1.1020000000000001</v>
      </c>
      <c r="E249" s="5">
        <f t="shared" si="9"/>
        <v>1.1268836065573771</v>
      </c>
      <c r="F249" s="5">
        <v>-2.9721666666666202</v>
      </c>
      <c r="G249" s="4">
        <f t="shared" si="7"/>
        <v>7.7829931087005644E-2</v>
      </c>
      <c r="H249" s="2">
        <f t="shared" si="7"/>
        <v>-0.11970955687537742</v>
      </c>
      <c r="I249" s="2">
        <f t="shared" si="8"/>
        <v>0.19753948796238308</v>
      </c>
    </row>
    <row r="250" spans="1:9" x14ac:dyDescent="0.25">
      <c r="A250" s="6">
        <v>45047</v>
      </c>
      <c r="B250" s="2">
        <v>3216926</v>
      </c>
      <c r="C250" s="2">
        <v>7722299.75</v>
      </c>
      <c r="D250" s="5">
        <v>1.0688</v>
      </c>
      <c r="E250" s="5">
        <f t="shared" si="9"/>
        <v>1.124606557377049</v>
      </c>
      <c r="F250" s="5">
        <v>-3.7628333333333153</v>
      </c>
      <c r="G250" s="4">
        <f t="shared" si="7"/>
        <v>3.1819055124525174E-2</v>
      </c>
      <c r="H250" s="2">
        <f t="shared" si="7"/>
        <v>-0.11153225657301252</v>
      </c>
      <c r="I250" s="2">
        <f t="shared" si="8"/>
        <v>0.1433513116975377</v>
      </c>
    </row>
    <row r="251" spans="1:9" x14ac:dyDescent="0.25">
      <c r="A251" s="6">
        <v>45078</v>
      </c>
      <c r="B251" s="2">
        <v>3274534</v>
      </c>
      <c r="C251" s="2">
        <v>7613429.4000000004</v>
      </c>
      <c r="D251" s="5">
        <v>1.091</v>
      </c>
      <c r="E251" s="5">
        <f t="shared" si="9"/>
        <v>1.1233278688524586</v>
      </c>
      <c r="F251" s="5">
        <v>-3.8929999999999465</v>
      </c>
      <c r="G251" s="4">
        <f t="shared" ref="G251:H278" si="10">(B251-B245)/B245</f>
        <v>4.8337979758915184E-2</v>
      </c>
      <c r="H251" s="2">
        <f t="shared" si="10"/>
        <v>-7.9829548551621166E-2</v>
      </c>
      <c r="I251" s="2">
        <f t="shared" ref="I251:I278" si="11">G251-H251</f>
        <v>0.12816752831053635</v>
      </c>
    </row>
    <row r="252" spans="1:9" x14ac:dyDescent="0.25">
      <c r="A252" s="6">
        <v>45108</v>
      </c>
      <c r="B252" s="2">
        <v>3171074</v>
      </c>
      <c r="C252" s="2">
        <v>7197145</v>
      </c>
      <c r="D252" s="5">
        <v>1.0992999999999999</v>
      </c>
      <c r="E252" s="5">
        <f t="shared" si="9"/>
        <v>1.1221967213114754</v>
      </c>
      <c r="F252" s="5">
        <v>-1.519999999999988</v>
      </c>
      <c r="G252" s="4">
        <f t="shared" si="10"/>
        <v>4.9103584899480621E-2</v>
      </c>
      <c r="H252" s="2">
        <f t="shared" si="10"/>
        <v>-9.4506766182943569E-2</v>
      </c>
      <c r="I252" s="2">
        <f t="shared" si="11"/>
        <v>0.1436103510824242</v>
      </c>
    </row>
    <row r="253" spans="1:9" x14ac:dyDescent="0.25">
      <c r="A253" s="6">
        <v>45139</v>
      </c>
      <c r="B253" s="2">
        <v>3216699</v>
      </c>
      <c r="C253" s="2">
        <v>7159750</v>
      </c>
      <c r="D253" s="5">
        <v>1.0841000000000001</v>
      </c>
      <c r="E253" s="5">
        <f t="shared" si="9"/>
        <v>1.1208032786885243</v>
      </c>
      <c r="F253" s="5">
        <v>-2.9838333333333189</v>
      </c>
      <c r="G253" s="4">
        <f t="shared" si="10"/>
        <v>6.2431713300894809E-2</v>
      </c>
      <c r="H253" s="2">
        <f t="shared" si="10"/>
        <v>-8.9685046728377835E-2</v>
      </c>
      <c r="I253" s="2">
        <f t="shared" si="11"/>
        <v>0.15211676002927266</v>
      </c>
    </row>
    <row r="254" spans="1:9" x14ac:dyDescent="0.25">
      <c r="A254" s="6">
        <v>45170</v>
      </c>
      <c r="B254" s="2">
        <v>3261181</v>
      </c>
      <c r="C254" s="2">
        <v>7133099.2000000002</v>
      </c>
      <c r="D254" s="5">
        <v>1.0569999999999999</v>
      </c>
      <c r="E254" s="5">
        <f t="shared" si="9"/>
        <v>1.1191163934426229</v>
      </c>
      <c r="F254" s="5">
        <v>-5.1979999999999915</v>
      </c>
      <c r="G254" s="4">
        <f t="shared" si="10"/>
        <v>1.2024140758197065E-2</v>
      </c>
      <c r="H254" s="2">
        <f t="shared" si="10"/>
        <v>-8.6847728004281685E-2</v>
      </c>
      <c r="I254" s="2">
        <f t="shared" si="11"/>
        <v>9.8871868762478748E-2</v>
      </c>
    </row>
    <row r="255" spans="1:9" x14ac:dyDescent="0.25">
      <c r="A255" s="6">
        <v>45200</v>
      </c>
      <c r="B255" s="2">
        <v>3262608</v>
      </c>
      <c r="C255" s="2">
        <v>7042856.25</v>
      </c>
      <c r="D255" s="5">
        <v>1.0576000000000001</v>
      </c>
      <c r="E255" s="5">
        <f t="shared" si="9"/>
        <v>1.1174245901639346</v>
      </c>
      <c r="F255" s="5">
        <v>-6.114166666666665</v>
      </c>
      <c r="G255" s="4">
        <f t="shared" si="10"/>
        <v>-7.1833422899421646E-3</v>
      </c>
      <c r="H255" s="2">
        <f t="shared" si="10"/>
        <v>-8.8132622119229898E-2</v>
      </c>
      <c r="I255" s="2">
        <f t="shared" si="11"/>
        <v>8.0949279829287735E-2</v>
      </c>
    </row>
    <row r="256" spans="1:9" x14ac:dyDescent="0.25">
      <c r="A256" s="6">
        <v>45231</v>
      </c>
      <c r="B256" s="2">
        <v>3376654</v>
      </c>
      <c r="C256" s="2">
        <v>6999339</v>
      </c>
      <c r="D256" s="5">
        <v>1.0886</v>
      </c>
      <c r="E256" s="5">
        <f t="shared" si="9"/>
        <v>1.1167295081967212</v>
      </c>
      <c r="F256" s="5">
        <v>-3.4833333333333272</v>
      </c>
      <c r="G256" s="4">
        <f t="shared" si="10"/>
        <v>4.9652369995455289E-2</v>
      </c>
      <c r="H256" s="2">
        <f t="shared" si="10"/>
        <v>-9.3619876643612543E-2</v>
      </c>
      <c r="I256" s="2">
        <f t="shared" si="11"/>
        <v>0.14327224663906785</v>
      </c>
    </row>
    <row r="257" spans="1:9" x14ac:dyDescent="0.25">
      <c r="A257" s="6">
        <v>45261</v>
      </c>
      <c r="B257" s="2">
        <v>3509139</v>
      </c>
      <c r="C257" s="2">
        <v>6963515.7999999998</v>
      </c>
      <c r="D257" s="5">
        <v>1.1035999999999999</v>
      </c>
      <c r="E257" s="5">
        <f t="shared" si="9"/>
        <v>1.1162721311475408</v>
      </c>
      <c r="F257" s="5">
        <v>-2.5048333333333561</v>
      </c>
      <c r="G257" s="4">
        <f t="shared" si="10"/>
        <v>7.1645308920292167E-2</v>
      </c>
      <c r="H257" s="2">
        <f t="shared" si="10"/>
        <v>-8.5364106745378171E-2</v>
      </c>
      <c r="I257" s="2">
        <f t="shared" si="11"/>
        <v>0.15700941566567034</v>
      </c>
    </row>
    <row r="258" spans="1:9" x14ac:dyDescent="0.25">
      <c r="A258" s="6">
        <v>45292</v>
      </c>
      <c r="B258" s="2">
        <v>3485255</v>
      </c>
      <c r="C258" s="2">
        <v>6905088.5</v>
      </c>
      <c r="D258" s="5">
        <v>1.0815999999999999</v>
      </c>
      <c r="E258" s="5">
        <f t="shared" si="9"/>
        <v>1.1152016393442621</v>
      </c>
      <c r="F258" s="5">
        <v>-2.5183333333333335</v>
      </c>
      <c r="G258" s="4">
        <f t="shared" si="10"/>
        <v>9.9077158085872488E-2</v>
      </c>
      <c r="H258" s="2">
        <f t="shared" si="10"/>
        <v>-4.0579493674227765E-2</v>
      </c>
      <c r="I258" s="2">
        <f t="shared" si="11"/>
        <v>0.13965665176010025</v>
      </c>
    </row>
    <row r="259" spans="1:9" x14ac:dyDescent="0.25">
      <c r="A259" s="6">
        <v>45323</v>
      </c>
      <c r="B259" s="2">
        <v>3568455</v>
      </c>
      <c r="C259" s="2">
        <v>6850110.75</v>
      </c>
      <c r="D259" s="5">
        <v>1.0803</v>
      </c>
      <c r="E259" s="5">
        <f t="shared" si="9"/>
        <v>1.114150819672131</v>
      </c>
      <c r="F259" s="5">
        <v>-3.4856666666666758</v>
      </c>
      <c r="G259" s="4">
        <f t="shared" si="10"/>
        <v>0.10935309769425115</v>
      </c>
      <c r="H259" s="2">
        <f t="shared" si="10"/>
        <v>-4.3247215335730997E-2</v>
      </c>
      <c r="I259" s="2">
        <f t="shared" si="11"/>
        <v>0.15260031302998214</v>
      </c>
    </row>
    <row r="260" spans="1:9" x14ac:dyDescent="0.25">
      <c r="A260" s="6">
        <v>45352</v>
      </c>
      <c r="B260" s="2">
        <v>3575089</v>
      </c>
      <c r="C260" s="2">
        <v>6775680.2000000002</v>
      </c>
      <c r="D260" s="5">
        <v>1.0792999999999999</v>
      </c>
      <c r="E260" s="5">
        <f t="shared" ref="E260:E267" si="12">AVERAGE(D200:D260)</f>
        <v>1.1132049180327865</v>
      </c>
      <c r="F260" s="5">
        <v>-2.6446666666666951</v>
      </c>
      <c r="G260" s="4">
        <f t="shared" si="10"/>
        <v>9.6255926917273221E-2</v>
      </c>
      <c r="H260" s="2">
        <f t="shared" si="10"/>
        <v>-5.0107111926888666E-2</v>
      </c>
      <c r="I260" s="2">
        <f t="shared" si="11"/>
        <v>0.14636303884416188</v>
      </c>
    </row>
    <row r="261" spans="1:9" x14ac:dyDescent="0.25">
      <c r="A261" s="6">
        <v>45383</v>
      </c>
      <c r="B261" s="2">
        <v>3462053</v>
      </c>
      <c r="C261" s="2">
        <v>6593509.75</v>
      </c>
      <c r="D261" s="5">
        <v>1.0665</v>
      </c>
      <c r="E261" s="5">
        <f t="shared" si="12"/>
        <v>1.1123000000000001</v>
      </c>
      <c r="F261" s="5">
        <v>-4.0196666666666436</v>
      </c>
      <c r="G261" s="4">
        <f t="shared" si="10"/>
        <v>6.1130543418026317E-2</v>
      </c>
      <c r="H261" s="2">
        <f t="shared" si="10"/>
        <v>-6.3801742368375047E-2</v>
      </c>
      <c r="I261" s="2">
        <f t="shared" si="11"/>
        <v>0.12493228578640136</v>
      </c>
    </row>
    <row r="262" spans="1:9" x14ac:dyDescent="0.25">
      <c r="A262" s="6">
        <v>45413</v>
      </c>
      <c r="B262" s="2">
        <v>3350754</v>
      </c>
      <c r="C262" s="2">
        <v>6572763</v>
      </c>
      <c r="D262" s="5">
        <v>1.0841000000000001</v>
      </c>
      <c r="E262" s="5">
        <f t="shared" si="12"/>
        <v>1.1116868852459019</v>
      </c>
      <c r="F262" s="5">
        <v>-3.0968333333333264</v>
      </c>
      <c r="G262" s="4">
        <f t="shared" si="10"/>
        <v>-7.6703150515273402E-3</v>
      </c>
      <c r="H262" s="2">
        <f t="shared" si="10"/>
        <v>-6.0945183538045518E-2</v>
      </c>
      <c r="I262" s="2">
        <f t="shared" si="11"/>
        <v>5.3274868486518176E-2</v>
      </c>
    </row>
    <row r="263" spans="1:9" x14ac:dyDescent="0.25">
      <c r="A263" s="6">
        <v>45444</v>
      </c>
      <c r="B263" s="2">
        <v>3400091</v>
      </c>
      <c r="C263" s="2">
        <v>6533743.5</v>
      </c>
      <c r="D263" s="5">
        <v>1.0712999999999999</v>
      </c>
      <c r="E263" s="5">
        <f t="shared" si="12"/>
        <v>1.1109426229508199</v>
      </c>
      <c r="F263" s="5">
        <v>-3.4781666666666711</v>
      </c>
      <c r="G263" s="4">
        <f t="shared" si="10"/>
        <v>-3.1075429043990563E-2</v>
      </c>
      <c r="H263" s="2">
        <f t="shared" si="10"/>
        <v>-6.1717717363404249E-2</v>
      </c>
      <c r="I263" s="2">
        <f t="shared" si="11"/>
        <v>3.0642288319413687E-2</v>
      </c>
    </row>
    <row r="264" spans="1:9" x14ac:dyDescent="0.25">
      <c r="A264" s="6">
        <v>45474</v>
      </c>
      <c r="B264" s="2">
        <v>3291936</v>
      </c>
      <c r="C264" s="2">
        <v>6486495.5</v>
      </c>
      <c r="D264" s="5">
        <v>1.0825</v>
      </c>
      <c r="E264" s="5">
        <f t="shared" si="12"/>
        <v>1.1100524590163934</v>
      </c>
      <c r="F264" s="5">
        <v>-2.5775000000000103</v>
      </c>
      <c r="G264" s="4">
        <f t="shared" si="10"/>
        <v>-5.5467677400936229E-2</v>
      </c>
      <c r="H264" s="2">
        <f t="shared" si="10"/>
        <v>-6.0620946422337674E-2</v>
      </c>
      <c r="I264" s="2">
        <f t="shared" si="11"/>
        <v>5.1532690214014451E-3</v>
      </c>
    </row>
    <row r="265" spans="1:9" x14ac:dyDescent="0.25">
      <c r="A265" s="6">
        <v>45505</v>
      </c>
      <c r="B265" s="2">
        <v>3341738</v>
      </c>
      <c r="C265" s="2">
        <v>6462473</v>
      </c>
      <c r="D265" s="5">
        <v>1.1047</v>
      </c>
      <c r="E265" s="5">
        <f t="shared" si="12"/>
        <v>1.1100081967213111</v>
      </c>
      <c r="F265" s="5">
        <v>-0.82933333333334858</v>
      </c>
      <c r="G265" s="4">
        <f t="shared" si="10"/>
        <v>-6.3533658123753833E-2</v>
      </c>
      <c r="H265" s="2">
        <f t="shared" si="10"/>
        <v>-5.6588537637876878E-2</v>
      </c>
      <c r="I265" s="2">
        <f t="shared" si="11"/>
        <v>-6.9451204858769558E-3</v>
      </c>
    </row>
    <row r="266" spans="1:9" x14ac:dyDescent="0.25">
      <c r="A266" s="6">
        <v>45536</v>
      </c>
      <c r="B266" s="2">
        <v>3261563</v>
      </c>
      <c r="C266" s="2">
        <v>6431501.5</v>
      </c>
      <c r="D266" s="5">
        <v>1.1133999999999999</v>
      </c>
      <c r="E266" s="5">
        <f t="shared" si="12"/>
        <v>1.110245901639344</v>
      </c>
      <c r="F266" s="5">
        <v>-4.833333333342793E-3</v>
      </c>
      <c r="G266" s="4">
        <f t="shared" si="10"/>
        <v>-8.7697397183678499E-2</v>
      </c>
      <c r="H266" s="2">
        <f t="shared" si="10"/>
        <v>-5.0796184270916471E-2</v>
      </c>
      <c r="I266" s="2">
        <f t="shared" si="11"/>
        <v>-3.6901212912762028E-2</v>
      </c>
    </row>
    <row r="267" spans="1:9" x14ac:dyDescent="0.25">
      <c r="A267" s="6">
        <v>45566</v>
      </c>
      <c r="B267" s="2">
        <v>3190557</v>
      </c>
      <c r="C267" s="2">
        <v>6430982.5</v>
      </c>
      <c r="D267" s="5">
        <v>1.0883</v>
      </c>
      <c r="E267" s="5">
        <f t="shared" si="12"/>
        <v>1.1102213114754098</v>
      </c>
      <c r="F267" s="5">
        <v>-2.0676666666666899</v>
      </c>
      <c r="G267" s="4">
        <f t="shared" si="10"/>
        <v>-7.8420521003000246E-2</v>
      </c>
      <c r="H267" s="2">
        <f t="shared" si="10"/>
        <v>-2.46495805970409E-2</v>
      </c>
      <c r="I267" s="2">
        <f t="shared" si="11"/>
        <v>-5.3770940405959346E-2</v>
      </c>
    </row>
    <row r="268" spans="1:9" x14ac:dyDescent="0.25">
      <c r="A268" s="6">
        <v>45597</v>
      </c>
      <c r="B268" s="2">
        <v>3258207</v>
      </c>
      <c r="C268" s="2">
        <v>6387611.4000000004</v>
      </c>
      <c r="D268" s="5">
        <v>1.0575000000000001</v>
      </c>
      <c r="E268" s="5">
        <f>AVERAGE(D208:D268)</f>
        <v>1.1092786885245904</v>
      </c>
      <c r="F268" s="5">
        <v>-4.7360000000000069</v>
      </c>
      <c r="G268" s="4">
        <f t="shared" si="10"/>
        <v>-2.7619753643508296E-2</v>
      </c>
      <c r="H268" s="2">
        <f t="shared" si="10"/>
        <v>-2.816952322790273E-2</v>
      </c>
      <c r="I268" s="2">
        <f t="shared" si="11"/>
        <v>5.4976958439443419E-4</v>
      </c>
    </row>
    <row r="269" spans="1:9" x14ac:dyDescent="0.25">
      <c r="A269" s="6">
        <v>45627</v>
      </c>
      <c r="B269" s="2">
        <v>3254811</v>
      </c>
      <c r="C269" s="2">
        <v>6351809.25</v>
      </c>
      <c r="D269" s="5">
        <v>1.0353000000000001</v>
      </c>
      <c r="E269" s="5">
        <f t="shared" ref="E269:E278" si="13">AVERAGE(D209:D269)</f>
        <v>1.1081934426229514</v>
      </c>
      <c r="F269" s="5">
        <v>-6.1190000000000078</v>
      </c>
      <c r="G269" s="4">
        <f t="shared" si="10"/>
        <v>-4.2728268155175844E-2</v>
      </c>
      <c r="H269" s="2">
        <f t="shared" si="10"/>
        <v>-2.7845330934708409E-2</v>
      </c>
      <c r="I269" s="2">
        <f t="shared" si="11"/>
        <v>-1.4882937220467435E-2</v>
      </c>
    </row>
    <row r="270" spans="1:9" x14ac:dyDescent="0.25">
      <c r="A270" s="6">
        <v>45658</v>
      </c>
      <c r="B270" s="2">
        <v>3249724</v>
      </c>
      <c r="C270" s="2">
        <v>6404988.7999999998</v>
      </c>
      <c r="D270" s="5">
        <v>1.0364</v>
      </c>
      <c r="E270" s="5">
        <f t="shared" si="13"/>
        <v>1.1068065573770496</v>
      </c>
      <c r="F270" s="5">
        <v>-7.1553333333333136</v>
      </c>
      <c r="G270" s="4">
        <f t="shared" si="10"/>
        <v>-1.282284953291923E-2</v>
      </c>
      <c r="H270" s="2">
        <f t="shared" si="10"/>
        <v>-1.2565598789053379E-2</v>
      </c>
      <c r="I270" s="2">
        <f t="shared" si="11"/>
        <v>-2.5725074386585139E-4</v>
      </c>
    </row>
    <row r="271" spans="1:9" x14ac:dyDescent="0.25">
      <c r="A271" s="6">
        <v>45689</v>
      </c>
      <c r="B271" s="2">
        <v>3248606</v>
      </c>
      <c r="C271" s="2">
        <v>6352248.5</v>
      </c>
      <c r="D271" s="5">
        <v>1.0376000000000001</v>
      </c>
      <c r="E271" s="5">
        <f t="shared" si="13"/>
        <v>1.1056311475409839</v>
      </c>
      <c r="F271" s="5">
        <v>-6.5023333333333433</v>
      </c>
      <c r="G271" s="4">
        <f t="shared" si="10"/>
        <v>-2.7869330270655569E-2</v>
      </c>
      <c r="H271" s="2">
        <f t="shared" si="10"/>
        <v>-1.7056086733360433E-2</v>
      </c>
      <c r="I271" s="2">
        <f t="shared" si="11"/>
        <v>-1.0813243537295136E-2</v>
      </c>
    </row>
    <row r="272" spans="1:9" x14ac:dyDescent="0.25">
      <c r="A272" s="6">
        <v>45717</v>
      </c>
      <c r="B272" s="2">
        <v>3407896</v>
      </c>
      <c r="C272" s="2">
        <v>6270885.25</v>
      </c>
      <c r="D272" s="5">
        <v>1.0818000000000001</v>
      </c>
      <c r="E272" s="5">
        <f t="shared" si="13"/>
        <v>1.1052918032786887</v>
      </c>
      <c r="F272" s="5">
        <v>-2.4635000000000185</v>
      </c>
      <c r="G272" s="4">
        <f t="shared" si="10"/>
        <v>4.4865912447498331E-2</v>
      </c>
      <c r="H272" s="2">
        <f t="shared" si="10"/>
        <v>-2.4973367416613369E-2</v>
      </c>
      <c r="I272" s="2">
        <f t="shared" si="11"/>
        <v>6.9839279864111703E-2</v>
      </c>
    </row>
    <row r="273" spans="1:9" x14ac:dyDescent="0.25">
      <c r="A273" s="6">
        <v>45748</v>
      </c>
      <c r="B273" s="2">
        <v>3356400</v>
      </c>
      <c r="C273" s="2">
        <v>6331820.25</v>
      </c>
      <c r="D273" s="5">
        <v>1.1329</v>
      </c>
      <c r="E273" s="5">
        <f t="shared" si="13"/>
        <v>1.1057836065573772</v>
      </c>
      <c r="F273" s="5">
        <v>1.6663333333333252</v>
      </c>
      <c r="G273" s="4">
        <f t="shared" si="10"/>
        <v>5.1979325240075633E-2</v>
      </c>
      <c r="H273" s="2">
        <f t="shared" si="10"/>
        <v>-1.5419455736351327E-2</v>
      </c>
      <c r="I273" s="2">
        <f t="shared" si="11"/>
        <v>6.7398780976426959E-2</v>
      </c>
    </row>
    <row r="274" spans="1:9" x14ac:dyDescent="0.25">
      <c r="A274" s="6">
        <v>45778</v>
      </c>
      <c r="B274" s="2">
        <v>3253622</v>
      </c>
      <c r="C274" s="2">
        <v>6295010.7999999998</v>
      </c>
      <c r="D274" s="5">
        <v>1.1348</v>
      </c>
      <c r="E274" s="5">
        <f t="shared" si="13"/>
        <v>1.1064278688524591</v>
      </c>
      <c r="F274" s="5">
        <v>2.0251666666666557</v>
      </c>
      <c r="G274" s="4">
        <f t="shared" si="10"/>
        <v>-1.4072156864189415E-3</v>
      </c>
      <c r="H274" s="2">
        <f t="shared" si="10"/>
        <v>-1.4496905682145999E-2</v>
      </c>
      <c r="I274" s="2">
        <f t="shared" si="11"/>
        <v>1.3089689995727058E-2</v>
      </c>
    </row>
    <row r="275" spans="1:9" x14ac:dyDescent="0.25">
      <c r="A275" s="6">
        <v>45809</v>
      </c>
      <c r="B275" s="2">
        <v>3369296</v>
      </c>
      <c r="C275" s="2">
        <v>6238526</v>
      </c>
      <c r="D275" s="5">
        <v>1.1787000000000001</v>
      </c>
      <c r="E275" s="5">
        <f t="shared" si="13"/>
        <v>1.1075573770491807</v>
      </c>
      <c r="F275" s="5">
        <v>4.5793333333333353</v>
      </c>
      <c r="G275" s="4">
        <f t="shared" si="10"/>
        <v>3.5174085377000383E-2</v>
      </c>
      <c r="H275" s="2">
        <f t="shared" si="10"/>
        <v>-1.7834800375971616E-2</v>
      </c>
      <c r="I275" s="2">
        <f t="shared" si="11"/>
        <v>5.3008885752971996E-2</v>
      </c>
    </row>
    <row r="276" spans="1:9" x14ac:dyDescent="0.25">
      <c r="A276" s="6">
        <v>45839</v>
      </c>
      <c r="B276" s="2">
        <v>3332948</v>
      </c>
      <c r="C276" s="2">
        <v>6129768.5</v>
      </c>
      <c r="D276" s="5">
        <v>1.1415999999999999</v>
      </c>
      <c r="E276" s="5">
        <f t="shared" si="13"/>
        <v>1.1078606557377051</v>
      </c>
      <c r="F276" s="5">
        <v>5.9188333333333176</v>
      </c>
      <c r="G276" s="4">
        <f t="shared" si="10"/>
        <v>2.5609559457972431E-2</v>
      </c>
      <c r="H276" s="2">
        <f t="shared" si="10"/>
        <v>-4.2969677011769299E-2</v>
      </c>
      <c r="I276" s="2">
        <f t="shared" si="11"/>
        <v>6.8579236469741733E-2</v>
      </c>
    </row>
    <row r="277" spans="1:9" x14ac:dyDescent="0.25">
      <c r="A277" s="6">
        <v>45870</v>
      </c>
      <c r="B277" s="2">
        <v>3298700</v>
      </c>
      <c r="C277" s="2">
        <v>6092370.4000000004</v>
      </c>
      <c r="D277" s="5">
        <v>1.1686000000000001</v>
      </c>
      <c r="E277" s="5">
        <f t="shared" si="13"/>
        <v>1.1077163934426233</v>
      </c>
      <c r="F277" s="5">
        <v>5.7094999999999896</v>
      </c>
      <c r="G277" s="4">
        <f t="shared" si="10"/>
        <v>1.5420152520804309E-2</v>
      </c>
      <c r="H277" s="2">
        <f t="shared" si="10"/>
        <v>-4.0911198609437212E-2</v>
      </c>
      <c r="I277" s="2">
        <f t="shared" si="11"/>
        <v>5.6331351130241521E-2</v>
      </c>
    </row>
    <row r="278" spans="1:9" x14ac:dyDescent="0.25">
      <c r="A278" s="6">
        <v>45901</v>
      </c>
      <c r="B278" s="2">
        <v>3104512</v>
      </c>
      <c r="C278" s="2">
        <v>6076719.75</v>
      </c>
      <c r="D278" s="5">
        <v>1.1734</v>
      </c>
      <c r="E278" s="5">
        <f t="shared" si="13"/>
        <v>1.1073852459016393</v>
      </c>
      <c r="F278" s="5">
        <v>6.6371666666666496</v>
      </c>
      <c r="G278" s="4">
        <f t="shared" si="10"/>
        <v>-8.9023843450621726E-2</v>
      </c>
      <c r="H278" s="2">
        <f t="shared" si="10"/>
        <v>-3.0963012758047199E-2</v>
      </c>
      <c r="I278" s="2">
        <f t="shared" si="11"/>
        <v>-5.8060830692574526E-2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Oliveri</dc:creator>
  <cp:lastModifiedBy>Maurizio Oliveri</cp:lastModifiedBy>
  <dcterms:created xsi:type="dcterms:W3CDTF">2025-12-16T21:21:45Z</dcterms:created>
  <dcterms:modified xsi:type="dcterms:W3CDTF">2025-12-17T14:12:59Z</dcterms:modified>
</cp:coreProperties>
</file>